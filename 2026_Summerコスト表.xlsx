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gy\git\2026_Summer\"/>
    </mc:Choice>
  </mc:AlternateContent>
  <xr:revisionPtr revIDLastSave="0" documentId="13_ncr:1_{A049D8E6-1F9A-44C6-A544-7160E7167186}" xr6:coauthVersionLast="47" xr6:coauthVersionMax="47" xr10:uidLastSave="{00000000-0000-0000-0000-000000000000}"/>
  <bookViews>
    <workbookView xWindow="-120" yWindow="-120" windowWidth="29040" windowHeight="1572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" i="3" l="1"/>
  <c r="M6" i="3"/>
  <c r="M7" i="3"/>
  <c r="M8" i="3"/>
  <c r="L4" i="1"/>
  <c r="L15" i="3" s="1"/>
  <c r="L14" i="3"/>
  <c r="L12" i="3"/>
  <c r="L13" i="3" s="1"/>
  <c r="L11" i="3"/>
  <c r="L8" i="1"/>
  <c r="L7" i="1"/>
  <c r="L6" i="1"/>
  <c r="L5" i="1"/>
  <c r="K8" i="1"/>
  <c r="K7" i="1"/>
  <c r="K6" i="1"/>
  <c r="K5" i="1"/>
  <c r="K4" i="1"/>
  <c r="L16" i="3" l="1"/>
</calcChain>
</file>

<file path=xl/sharedStrings.xml><?xml version="1.0" encoding="utf-8"?>
<sst xmlns="http://schemas.openxmlformats.org/spreadsheetml/2006/main" count="233" uniqueCount="90">
  <si>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</si>
  <si>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</si>
  <si>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</si>
  <si>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</si>
  <si>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</si>
  <si>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</si>
  <si>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</si>
  <si>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</si>
  <si>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</si>
  <si>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</si>
  <si>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</si>
  <si>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</si>
  <si>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</si>
  <si>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</si>
  <si>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</si>
  <si>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</si>
  <si>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</si>
  <si>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</si>
  <si>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</si>
  <si>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</si>
  <si>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</si>
  <si>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</si>
  <si>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</si>
  <si>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</si>
  <si>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</si>
  <si>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</si>
  <si>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</si>
  <si>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</si>
  <si>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</si>
  <si>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</si>
  <si>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</si>
  <si>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</si>
  <si>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</si>
  <si>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</si>
  <si>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</si>
  <si>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</si>
  <si>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</si>
  <si>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</si>
  <si>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</si>
  <si>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</si>
  <si>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</si>
  <si>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</si>
  <si>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</si>
  <si>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</si>
  <si>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</si>
  <si>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</si>
  <si>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ポリゴンとの当たり判定</t>
    <rPh sb="6" eb="7">
      <t>ア</t>
    </rPh>
    <rPh sb="9" eb="11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</si>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</sst>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9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indexed="64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indexed="64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2" tint="-9.9978637043366805E-2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2" tint="-9.9978637043366805E-2"/>
      </right>
      <top style="thin">
        <color theme="0" tint="-0.249977111117893"/>
      </top>
      <bottom/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117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3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13" borderId="16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0" borderId="0" xfId="0" applyBorder="1">
      <alignment vertical="center"/>
    </xf>
    <xf numFmtId="0" fontId="3" fillId="13" borderId="27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31" xfId="0" applyBorder="1">
      <alignment vertical="center"/>
    </xf>
    <xf numFmtId="0" fontId="6" fillId="13" borderId="30" xfId="0" applyFont="1" applyFill="1" applyBorder="1">
      <alignment vertical="center"/>
    </xf>
    <xf numFmtId="0" fontId="6" fillId="13" borderId="24" xfId="0" applyFont="1" applyFill="1" applyBorder="1">
      <alignment vertical="center"/>
    </xf>
    <xf numFmtId="0" fontId="6" fillId="13" borderId="25" xfId="0" applyFont="1" applyFill="1" applyBorder="1">
      <alignment vertical="center"/>
    </xf>
    <xf numFmtId="0" fontId="6" fillId="13" borderId="31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0" xfId="0" applyFont="1" applyFill="1" applyBorder="1">
      <alignment vertical="center"/>
    </xf>
    <xf numFmtId="0" fontId="6" fillId="13" borderId="32" xfId="0" applyFont="1" applyFill="1" applyBorder="1">
      <alignment vertical="center"/>
    </xf>
    <xf numFmtId="0" fontId="6" fillId="13" borderId="29" xfId="0" applyFont="1" applyFill="1" applyBorder="1">
      <alignment vertical="center"/>
    </xf>
    <xf numFmtId="0" fontId="6" fillId="13" borderId="27" xfId="0" applyFont="1" applyFill="1" applyBorder="1">
      <alignment vertical="center"/>
    </xf>
    <xf numFmtId="0" fontId="3" fillId="13" borderId="33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ont="1" applyFill="1" applyBorder="1">
      <alignment vertical="center"/>
    </xf>
    <xf numFmtId="0" fontId="0" fillId="13" borderId="22" xfId="0" applyFont="1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ont="1" applyFill="1" applyBorder="1">
      <alignment vertical="center"/>
    </xf>
    <xf numFmtId="0" fontId="0" fillId="12" borderId="15" xfId="0" applyFill="1" applyBorder="1">
      <alignment vertical="center"/>
    </xf>
    <xf numFmtId="0" fontId="0" fillId="5" borderId="35" xfId="0" applyFill="1" applyBorder="1">
      <alignment vertical="center"/>
    </xf>
    <xf numFmtId="0" fontId="0" fillId="13" borderId="34" xfId="0" applyFill="1" applyBorder="1">
      <alignment vertical="center"/>
    </xf>
    <xf numFmtId="0" fontId="0" fillId="12" borderId="24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7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6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8" xfId="0" applyBorder="1">
      <alignment vertical="center"/>
    </xf>
    <xf numFmtId="0" fontId="5" fillId="19" borderId="37" xfId="0" applyFont="1" applyFill="1" applyBorder="1">
      <alignment vertical="center"/>
    </xf>
    <xf numFmtId="0" fontId="3" fillId="13" borderId="15" xfId="0" applyFont="1" applyFill="1" applyBorder="1">
      <alignment vertical="center"/>
    </xf>
    <xf numFmtId="0" fontId="6" fillId="13" borderId="33" xfId="0" applyFont="1" applyFill="1" applyBorder="1">
      <alignment vertical="center"/>
    </xf>
    <xf numFmtId="0" fontId="6" fillId="13" borderId="39" xfId="0" applyFont="1" applyFill="1" applyBorder="1">
      <alignment vertical="center"/>
    </xf>
    <xf numFmtId="0" fontId="6" fillId="13" borderId="14" xfId="0" applyFont="1" applyFill="1" applyBorder="1">
      <alignment vertical="center"/>
    </xf>
    <xf numFmtId="0" fontId="5" fillId="13" borderId="36" xfId="0" applyFont="1" applyFill="1" applyBorder="1">
      <alignment vertical="center"/>
    </xf>
    <xf numFmtId="0" fontId="3" fillId="13" borderId="12" xfId="0" applyFont="1" applyFill="1" applyBorder="1">
      <alignment vertical="center"/>
    </xf>
    <xf numFmtId="0" fontId="3" fillId="13" borderId="35" xfId="0" applyFont="1" applyFill="1" applyBorder="1">
      <alignment vertical="center"/>
    </xf>
    <xf numFmtId="0" fontId="5" fillId="13" borderId="18" xfId="0" applyFont="1" applyFill="1" applyBorder="1">
      <alignment vertical="center"/>
    </xf>
    <xf numFmtId="0" fontId="0" fillId="0" borderId="0" xfId="0" applyFill="1" applyBorder="1">
      <alignment vertical="center"/>
    </xf>
    <xf numFmtId="0" fontId="6" fillId="0" borderId="0" xfId="0" applyFont="1" applyFill="1" applyBorder="1">
      <alignment vertical="center"/>
    </xf>
    <xf numFmtId="0" fontId="0" fillId="0" borderId="40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9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</cellXfs>
  <cellStyles count="1">
    <cellStyle name="標準" xfId="0" builtinId="0"/>
  </cellStyles>
  <dxfs count="13">
    <dxf>
      <font>
        <color auto="1"/>
      </font>
    </dxf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39" totalsRowShown="0" headerRowDxfId="12" dataDxfId="10" headerRowBorderDxfId="11" tableBorderDxfId="9" totalsRowBorderDxfId="8">
  <autoFilter ref="B3:H39" xr:uid="{935F7255-1AB1-4CF6-B090-10E22EB9181F}"/>
  <sortState xmlns:xlrd2="http://schemas.microsoft.com/office/spreadsheetml/2017/richdata2" ref="B4:H38">
    <sortCondition sortBy="fontColor" ref="F3:F38" dxfId="0"/>
  </sortState>
  <tableColumns count="7">
    <tableColumn id="1" xr3:uid="{DBD721D9-31E7-4852-8751-88A020768938}" name="役割" dataDxfId="7"/>
    <tableColumn id="8" xr3:uid="{3A719BC1-D049-45A6-828B-0FEEDD23AE1D}" name="内容" dataDxfId="6"/>
    <tableColumn id="3" xr3:uid="{B983F2FB-E4C1-4AAB-8082-88DC198AD31B}" name="優先度" dataDxfId="5"/>
    <tableColumn id="4" xr3:uid="{5D1C8FFC-8CC7-42BC-9650-F477F1294E92}" name="バージョン" dataDxfId="4"/>
    <tableColumn id="2" xr3:uid="{9F12BE3B-0DD1-41C1-8C2C-AF6C8F247D3C}" name="想定コスト" dataDxfId="3"/>
    <tableColumn id="6" xr3:uid="{13FB0F58-83C3-4C72-867B-ED29D88D66FA}" name="実コスト" dataDxfId="2"/>
    <tableColumn id="7" xr3:uid="{B9DAC499-4733-4C1B-85B6-D412A0C2495C}" name="ステータス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45"/>
  <sheetViews>
    <sheetView tabSelected="1" workbookViewId="0">
      <selection activeCell="L11" sqref="L11"/>
    </sheetView>
  </sheetViews>
  <sheetFormatPr defaultRowHeight="18.75"/>
  <cols>
    <col min="2" max="2" width="11" bestFit="1" customWidth="1"/>
    <col min="3" max="3" width="23.2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66</v>
      </c>
      <c r="L2" s="65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65</v>
      </c>
      <c r="G3" s="19" t="s">
        <v>31</v>
      </c>
      <c r="H3" s="20" t="s">
        <v>32</v>
      </c>
      <c r="J3" s="57" t="s">
        <v>71</v>
      </c>
      <c r="K3" s="57" t="s">
        <v>70</v>
      </c>
      <c r="L3" s="58" t="s">
        <v>78</v>
      </c>
    </row>
    <row r="4" spans="2:13" ht="19.5" thickBot="1">
      <c r="B4" s="46" t="s">
        <v>62</v>
      </c>
      <c r="C4" s="47" t="s">
        <v>62</v>
      </c>
      <c r="D4" s="47" t="s">
        <v>41</v>
      </c>
      <c r="E4" s="48" t="s">
        <v>25</v>
      </c>
      <c r="F4" s="49">
        <v>15</v>
      </c>
      <c r="G4" s="50"/>
      <c r="H4" s="51" t="s">
        <v>80</v>
      </c>
      <c r="J4" s="64" t="s">
        <v>72</v>
      </c>
      <c r="K4" s="57">
        <f>SUM(テーブル1[想定コスト])</f>
        <v>82</v>
      </c>
      <c r="L4" s="57">
        <f>SUMIF(テーブル1[ステータス],"完了",テーブル1[想定コスト])</f>
        <v>6</v>
      </c>
    </row>
    <row r="5" spans="2:13" ht="19.5" thickBot="1">
      <c r="B5" s="24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3"/>
      <c r="H5" s="51" t="s">
        <v>80</v>
      </c>
      <c r="J5" s="63" t="s">
        <v>25</v>
      </c>
      <c r="K5" s="58">
        <f>SUMIF(テーブル1[バージョン],J5,テーブル1[想定コスト])</f>
        <v>62</v>
      </c>
      <c r="L5" s="58">
        <f>SUMIFS(テーブル1[想定コスト],テーブル1[バージョン],J5,テーブル1[ステータス],"完了")</f>
        <v>3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8"/>
      <c r="H6" s="51" t="s">
        <v>80</v>
      </c>
      <c r="J6" s="61" t="s">
        <v>26</v>
      </c>
      <c r="K6" s="59">
        <f>SUMIF(テーブル1[バージョン],J6,テーブル1[想定コスト])</f>
        <v>20</v>
      </c>
      <c r="L6" s="59">
        <f>SUMIFS(テーブル1[想定コスト],テーブル1[バージョン],J6,テーブル1[ステータス],"完了")</f>
        <v>3</v>
      </c>
      <c r="M6" s="77"/>
    </row>
    <row r="7" spans="2:13" ht="19.5" thickBot="1">
      <c r="B7" s="5" t="s">
        <v>35</v>
      </c>
      <c r="C7" s="6" t="s">
        <v>46</v>
      </c>
      <c r="D7" s="6" t="s">
        <v>41</v>
      </c>
      <c r="E7" s="7" t="s">
        <v>25</v>
      </c>
      <c r="F7" s="7">
        <v>5</v>
      </c>
      <c r="G7" s="8"/>
      <c r="H7" s="51" t="s">
        <v>80</v>
      </c>
      <c r="J7" s="60" t="s">
        <v>27</v>
      </c>
      <c r="K7" s="58">
        <f>SUMIF(テーブル1[バージョン],J7,テーブル1[想定コスト])</f>
        <v>0</v>
      </c>
      <c r="L7" s="59">
        <f>SUMIFS(テーブル1[想定コスト],テーブル1[バージョン],J7,テーブル1[ステータス],"完了")</f>
        <v>0</v>
      </c>
    </row>
    <row r="8" spans="2:13">
      <c r="B8" s="10" t="s">
        <v>0</v>
      </c>
      <c r="C8" s="6" t="s">
        <v>47</v>
      </c>
      <c r="D8" s="6" t="s">
        <v>41</v>
      </c>
      <c r="E8" s="7" t="s">
        <v>25</v>
      </c>
      <c r="F8" s="7">
        <v>1</v>
      </c>
      <c r="G8" s="7">
        <v>1</v>
      </c>
      <c r="H8" s="9" t="s">
        <v>79</v>
      </c>
      <c r="I8" s="62"/>
      <c r="J8" s="66" t="s">
        <v>28</v>
      </c>
      <c r="K8" s="57">
        <f>SUMIF(テーブル1[バージョン],J8,テーブル1[想定コスト])</f>
        <v>0</v>
      </c>
      <c r="L8" s="58">
        <f>SUMIFS(テーブル1[想定コスト],テーブル1[バージョン],J8,テーブル1[ステータス],"完了")</f>
        <v>0</v>
      </c>
    </row>
    <row r="9" spans="2:13">
      <c r="B9" s="10" t="s">
        <v>0</v>
      </c>
      <c r="C9" s="6" t="s">
        <v>52</v>
      </c>
      <c r="D9" s="6" t="s">
        <v>41</v>
      </c>
      <c r="E9" s="7" t="s">
        <v>25</v>
      </c>
      <c r="F9" s="7">
        <v>1</v>
      </c>
      <c r="G9" s="7">
        <v>1</v>
      </c>
      <c r="H9" s="9" t="s">
        <v>79</v>
      </c>
    </row>
    <row r="10" spans="2:13">
      <c r="B10" s="10" t="s">
        <v>0</v>
      </c>
      <c r="C10" s="6" t="s">
        <v>48</v>
      </c>
      <c r="D10" s="6" t="s">
        <v>41</v>
      </c>
      <c r="E10" s="7" t="s">
        <v>25</v>
      </c>
      <c r="F10" s="7">
        <v>1</v>
      </c>
      <c r="G10" s="8"/>
      <c r="H10" s="9" t="s">
        <v>80</v>
      </c>
    </row>
    <row r="11" spans="2:13">
      <c r="B11" s="10" t="s">
        <v>0</v>
      </c>
      <c r="C11" s="6" t="s">
        <v>50</v>
      </c>
      <c r="D11" s="6" t="s">
        <v>42</v>
      </c>
      <c r="E11" s="7" t="s">
        <v>25</v>
      </c>
      <c r="F11" s="7">
        <v>1</v>
      </c>
      <c r="G11" s="8"/>
      <c r="H11" s="9" t="s">
        <v>80</v>
      </c>
    </row>
    <row r="12" spans="2:13">
      <c r="B12" s="10" t="s">
        <v>0</v>
      </c>
      <c r="C12" s="6" t="s">
        <v>49</v>
      </c>
      <c r="D12" s="6" t="s">
        <v>41</v>
      </c>
      <c r="E12" s="7" t="s">
        <v>25</v>
      </c>
      <c r="F12" s="7">
        <v>1</v>
      </c>
      <c r="G12" s="7">
        <v>1</v>
      </c>
      <c r="H12" s="9" t="s">
        <v>79</v>
      </c>
      <c r="J12" s="33"/>
      <c r="K12" s="116"/>
    </row>
    <row r="13" spans="2:13">
      <c r="B13" s="10" t="s">
        <v>0</v>
      </c>
      <c r="C13" s="6" t="s">
        <v>53</v>
      </c>
      <c r="D13" s="6" t="s">
        <v>41</v>
      </c>
      <c r="E13" s="7" t="s">
        <v>25</v>
      </c>
      <c r="F13" s="7">
        <v>1</v>
      </c>
      <c r="G13" s="8"/>
      <c r="H13" s="9" t="s">
        <v>80</v>
      </c>
    </row>
    <row r="14" spans="2:13">
      <c r="B14" s="10" t="s">
        <v>0</v>
      </c>
      <c r="C14" s="6" t="s">
        <v>51</v>
      </c>
      <c r="D14" s="6" t="s">
        <v>41</v>
      </c>
      <c r="E14" s="7" t="s">
        <v>25</v>
      </c>
      <c r="F14" s="7">
        <v>1</v>
      </c>
      <c r="G14" s="8"/>
      <c r="H14" s="9" t="s">
        <v>80</v>
      </c>
    </row>
    <row r="15" spans="2:13">
      <c r="B15" s="10" t="s">
        <v>0</v>
      </c>
      <c r="C15" s="6" t="s">
        <v>54</v>
      </c>
      <c r="D15" s="6" t="s">
        <v>42</v>
      </c>
      <c r="E15" s="26" t="s">
        <v>26</v>
      </c>
      <c r="F15" s="26">
        <v>3</v>
      </c>
      <c r="G15" s="7">
        <v>1</v>
      </c>
      <c r="H15" s="9" t="s">
        <v>79</v>
      </c>
    </row>
    <row r="16" spans="2:13">
      <c r="B16" s="11" t="s">
        <v>55</v>
      </c>
      <c r="C16" s="6" t="s">
        <v>47</v>
      </c>
      <c r="D16" s="6" t="s">
        <v>41</v>
      </c>
      <c r="E16" s="26" t="s">
        <v>25</v>
      </c>
      <c r="F16" s="26">
        <v>1</v>
      </c>
      <c r="G16" s="8"/>
      <c r="H16" s="9" t="s">
        <v>80</v>
      </c>
    </row>
    <row r="17" spans="2:12">
      <c r="B17" s="11" t="s">
        <v>55</v>
      </c>
      <c r="C17" s="6" t="s">
        <v>48</v>
      </c>
      <c r="D17" s="6" t="s">
        <v>41</v>
      </c>
      <c r="E17" s="26" t="s">
        <v>25</v>
      </c>
      <c r="F17" s="26">
        <v>1</v>
      </c>
      <c r="G17" s="8"/>
      <c r="H17" s="9" t="s">
        <v>80</v>
      </c>
    </row>
    <row r="18" spans="2:12">
      <c r="B18" s="11" t="s">
        <v>55</v>
      </c>
      <c r="C18" s="6" t="s">
        <v>51</v>
      </c>
      <c r="D18" s="6" t="s">
        <v>41</v>
      </c>
      <c r="E18" s="26" t="s">
        <v>26</v>
      </c>
      <c r="F18" s="26">
        <v>1</v>
      </c>
      <c r="G18" s="8"/>
      <c r="H18" s="9" t="s">
        <v>80</v>
      </c>
    </row>
    <row r="19" spans="2:12">
      <c r="B19" s="11" t="s">
        <v>56</v>
      </c>
      <c r="C19" s="6" t="s">
        <v>47</v>
      </c>
      <c r="D19" s="6" t="s">
        <v>41</v>
      </c>
      <c r="E19" s="26" t="s">
        <v>25</v>
      </c>
      <c r="F19" s="26">
        <v>1</v>
      </c>
      <c r="G19" s="8"/>
      <c r="H19" s="9" t="s">
        <v>80</v>
      </c>
    </row>
    <row r="20" spans="2:12">
      <c r="B20" s="11" t="s">
        <v>56</v>
      </c>
      <c r="C20" s="6" t="s">
        <v>48</v>
      </c>
      <c r="D20" s="6" t="s">
        <v>41</v>
      </c>
      <c r="E20" s="26" t="s">
        <v>25</v>
      </c>
      <c r="F20" s="26">
        <v>1</v>
      </c>
      <c r="G20" s="8"/>
      <c r="H20" s="9" t="s">
        <v>80</v>
      </c>
    </row>
    <row r="21" spans="2:12">
      <c r="B21" s="11" t="s">
        <v>56</v>
      </c>
      <c r="C21" s="6" t="s">
        <v>51</v>
      </c>
      <c r="D21" s="6" t="s">
        <v>41</v>
      </c>
      <c r="E21" s="26" t="s">
        <v>26</v>
      </c>
      <c r="F21" s="26">
        <v>1</v>
      </c>
      <c r="G21" s="8"/>
      <c r="H21" s="9" t="s">
        <v>80</v>
      </c>
    </row>
    <row r="22" spans="2:12">
      <c r="B22" s="11" t="s">
        <v>67</v>
      </c>
      <c r="C22" s="6" t="s">
        <v>47</v>
      </c>
      <c r="D22" s="6" t="s">
        <v>41</v>
      </c>
      <c r="E22" s="7" t="s">
        <v>25</v>
      </c>
      <c r="F22" s="7">
        <v>1</v>
      </c>
      <c r="G22" s="8"/>
      <c r="H22" s="9" t="s">
        <v>80</v>
      </c>
    </row>
    <row r="23" spans="2:12">
      <c r="B23" s="11" t="s">
        <v>67</v>
      </c>
      <c r="C23" s="6" t="s">
        <v>48</v>
      </c>
      <c r="D23" s="6" t="s">
        <v>41</v>
      </c>
      <c r="E23" s="7" t="s">
        <v>25</v>
      </c>
      <c r="F23" s="7">
        <v>1</v>
      </c>
      <c r="G23" s="8"/>
      <c r="H23" s="9" t="s">
        <v>80</v>
      </c>
    </row>
    <row r="24" spans="2:12">
      <c r="B24" s="11" t="s">
        <v>67</v>
      </c>
      <c r="C24" s="6" t="s">
        <v>51</v>
      </c>
      <c r="D24" s="6" t="s">
        <v>41</v>
      </c>
      <c r="E24" s="7" t="s">
        <v>26</v>
      </c>
      <c r="F24" s="7">
        <v>1</v>
      </c>
      <c r="G24" s="8"/>
      <c r="H24" s="9" t="s">
        <v>80</v>
      </c>
    </row>
    <row r="25" spans="2:12">
      <c r="B25" s="11" t="s">
        <v>63</v>
      </c>
      <c r="C25" s="6" t="s">
        <v>64</v>
      </c>
      <c r="D25" s="6" t="s">
        <v>41</v>
      </c>
      <c r="E25" s="26" t="s">
        <v>25</v>
      </c>
      <c r="F25" s="27">
        <v>8</v>
      </c>
      <c r="G25" s="8"/>
      <c r="H25" s="9" t="s">
        <v>80</v>
      </c>
    </row>
    <row r="26" spans="2:12">
      <c r="B26" s="11" t="s">
        <v>63</v>
      </c>
      <c r="C26" s="6" t="s">
        <v>77</v>
      </c>
      <c r="D26" s="6" t="s">
        <v>41</v>
      </c>
      <c r="E26" s="7" t="s">
        <v>25</v>
      </c>
      <c r="F26" s="7">
        <v>5</v>
      </c>
      <c r="G26" s="8"/>
      <c r="H26" s="9" t="s">
        <v>80</v>
      </c>
    </row>
    <row r="27" spans="2:12">
      <c r="B27" s="12" t="s">
        <v>36</v>
      </c>
      <c r="C27" s="6" t="s">
        <v>57</v>
      </c>
      <c r="D27" s="6" t="s">
        <v>41</v>
      </c>
      <c r="E27" s="26" t="s">
        <v>26</v>
      </c>
      <c r="F27" s="26">
        <v>3</v>
      </c>
      <c r="G27" s="8"/>
      <c r="H27" s="9" t="s">
        <v>80</v>
      </c>
    </row>
    <row r="28" spans="2:12">
      <c r="B28" s="25" t="s">
        <v>40</v>
      </c>
      <c r="C28" s="6" t="s">
        <v>58</v>
      </c>
      <c r="D28" s="6" t="s">
        <v>42</v>
      </c>
      <c r="E28" s="26" t="s">
        <v>25</v>
      </c>
      <c r="F28" s="26">
        <v>1</v>
      </c>
      <c r="G28" s="8"/>
      <c r="H28" s="9" t="s">
        <v>80</v>
      </c>
    </row>
    <row r="29" spans="2:12">
      <c r="B29" s="25" t="s">
        <v>40</v>
      </c>
      <c r="C29" s="6" t="s">
        <v>59</v>
      </c>
      <c r="D29" s="6" t="s">
        <v>42</v>
      </c>
      <c r="E29" s="26" t="s">
        <v>25</v>
      </c>
      <c r="F29" s="26">
        <v>1</v>
      </c>
      <c r="G29" s="8">
        <v>1</v>
      </c>
      <c r="H29" s="9" t="s">
        <v>80</v>
      </c>
    </row>
    <row r="30" spans="2:12">
      <c r="B30" s="25" t="s">
        <v>40</v>
      </c>
      <c r="C30" s="6" t="s">
        <v>60</v>
      </c>
      <c r="D30" s="6" t="s">
        <v>42</v>
      </c>
      <c r="E30" s="26" t="s">
        <v>25</v>
      </c>
      <c r="F30" s="26">
        <v>1</v>
      </c>
      <c r="G30" s="8"/>
      <c r="H30" s="9" t="s">
        <v>80</v>
      </c>
    </row>
    <row r="31" spans="2:12">
      <c r="B31" s="25" t="s">
        <v>40</v>
      </c>
      <c r="C31" s="6" t="s">
        <v>61</v>
      </c>
      <c r="D31" s="6" t="s">
        <v>43</v>
      </c>
      <c r="E31" s="26" t="s">
        <v>26</v>
      </c>
      <c r="F31" s="26">
        <v>1</v>
      </c>
      <c r="G31" s="8"/>
      <c r="H31" s="9" t="s">
        <v>80</v>
      </c>
      <c r="L31" s="32"/>
    </row>
    <row r="32" spans="2:12">
      <c r="B32" s="10" t="s">
        <v>68</v>
      </c>
      <c r="C32" s="6" t="s">
        <v>47</v>
      </c>
      <c r="D32" s="6" t="s">
        <v>41</v>
      </c>
      <c r="E32" s="27" t="s">
        <v>25</v>
      </c>
      <c r="F32" s="68">
        <v>1</v>
      </c>
      <c r="G32" s="8"/>
      <c r="H32" s="9" t="s">
        <v>80</v>
      </c>
      <c r="L32" s="32"/>
    </row>
    <row r="33" spans="1:8">
      <c r="B33" s="52" t="s">
        <v>68</v>
      </c>
      <c r="C33" s="13" t="s">
        <v>69</v>
      </c>
      <c r="D33" s="13" t="s">
        <v>41</v>
      </c>
      <c r="E33" s="69" t="s">
        <v>25</v>
      </c>
      <c r="F33" s="56">
        <v>1</v>
      </c>
      <c r="G33" s="67"/>
      <c r="H33" s="9" t="s">
        <v>80</v>
      </c>
    </row>
    <row r="34" spans="1:8">
      <c r="B34" s="55" t="s">
        <v>68</v>
      </c>
      <c r="C34" s="32" t="s">
        <v>75</v>
      </c>
      <c r="D34" s="32" t="s">
        <v>41</v>
      </c>
      <c r="E34" s="56" t="s">
        <v>25</v>
      </c>
      <c r="F34" s="56">
        <v>2</v>
      </c>
      <c r="G34" s="31"/>
      <c r="H34" s="9" t="s">
        <v>80</v>
      </c>
    </row>
    <row r="35" spans="1:8">
      <c r="B35" s="55" t="s">
        <v>68</v>
      </c>
      <c r="C35" s="32" t="s">
        <v>76</v>
      </c>
      <c r="D35" s="32" t="s">
        <v>41</v>
      </c>
      <c r="E35" s="56" t="s">
        <v>25</v>
      </c>
      <c r="F35" s="40">
        <v>3</v>
      </c>
      <c r="G35" s="31"/>
      <c r="H35" s="9" t="s">
        <v>80</v>
      </c>
    </row>
    <row r="36" spans="1:8">
      <c r="B36" s="10" t="s">
        <v>68</v>
      </c>
      <c r="C36" s="6" t="s">
        <v>81</v>
      </c>
      <c r="D36" s="6" t="s">
        <v>41</v>
      </c>
      <c r="E36" s="70" t="s">
        <v>26</v>
      </c>
      <c r="F36" s="35">
        <v>5</v>
      </c>
      <c r="G36" s="72"/>
      <c r="H36" s="9" t="s">
        <v>80</v>
      </c>
    </row>
    <row r="37" spans="1:8">
      <c r="B37" s="53" t="s">
        <v>38</v>
      </c>
      <c r="C37" s="54" t="s">
        <v>74</v>
      </c>
      <c r="D37" s="54" t="s">
        <v>41</v>
      </c>
      <c r="E37" s="71" t="s">
        <v>26</v>
      </c>
      <c r="F37" s="56">
        <v>2</v>
      </c>
      <c r="G37" s="73"/>
      <c r="H37" s="9" t="s">
        <v>80</v>
      </c>
    </row>
    <row r="38" spans="1:8">
      <c r="B38" s="45" t="s">
        <v>39</v>
      </c>
      <c r="C38" s="6" t="s">
        <v>73</v>
      </c>
      <c r="D38" s="6" t="s">
        <v>41</v>
      </c>
      <c r="E38" s="26" t="s">
        <v>26</v>
      </c>
      <c r="F38" s="74">
        <v>3</v>
      </c>
      <c r="G38" s="8"/>
      <c r="H38" s="9" t="s">
        <v>80</v>
      </c>
    </row>
    <row r="39" spans="1:8">
      <c r="B39" s="44" t="s">
        <v>37</v>
      </c>
      <c r="C39" s="6"/>
      <c r="D39" s="6"/>
      <c r="E39" s="8"/>
      <c r="F39" s="14"/>
      <c r="G39" s="43"/>
      <c r="H39" s="9"/>
    </row>
    <row r="40" spans="1:8">
      <c r="A40" s="33"/>
      <c r="B40" s="34"/>
      <c r="C40" s="34"/>
      <c r="D40" s="34"/>
      <c r="E40" s="34"/>
      <c r="F40" s="35"/>
      <c r="G40" s="34"/>
      <c r="H40" s="36"/>
    </row>
    <row r="41" spans="1:8">
      <c r="A41" s="33"/>
      <c r="B41" s="37"/>
      <c r="C41" s="38"/>
      <c r="D41" s="37"/>
      <c r="E41" s="39"/>
      <c r="F41" s="40"/>
      <c r="G41" s="37"/>
      <c r="H41" s="41"/>
    </row>
    <row r="42" spans="1:8">
      <c r="A42" s="30"/>
      <c r="B42" s="35"/>
      <c r="C42" s="42"/>
      <c r="D42" s="42"/>
      <c r="E42" s="42"/>
      <c r="F42" s="35"/>
      <c r="G42" s="42"/>
      <c r="H42" s="42"/>
    </row>
    <row r="43" spans="1:8">
      <c r="A43" s="30"/>
      <c r="B43" s="41"/>
      <c r="C43" s="42"/>
      <c r="D43" s="38"/>
      <c r="E43" s="42"/>
      <c r="F43" s="38"/>
      <c r="G43" s="38"/>
      <c r="H43" s="38"/>
    </row>
    <row r="44" spans="1:8">
      <c r="A44" s="30"/>
      <c r="B44" s="41"/>
      <c r="C44" s="38"/>
      <c r="D44" s="38"/>
      <c r="E44" s="42"/>
      <c r="F44" s="38"/>
      <c r="G44" s="38"/>
      <c r="H44" s="38"/>
    </row>
    <row r="45" spans="1:8">
      <c r="A45" s="30"/>
      <c r="B45" s="30"/>
      <c r="C45" s="30"/>
      <c r="D45" s="30"/>
      <c r="E45" s="30"/>
      <c r="F45" s="30"/>
      <c r="G45" s="30"/>
      <c r="H45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B3:M24"/>
  <sheetViews>
    <sheetView workbookViewId="0">
      <selection activeCell="K16" sqref="K16"/>
    </sheetView>
  </sheetViews>
  <sheetFormatPr defaultRowHeight="18.75"/>
  <cols>
    <col min="11" max="11" width="37.5" bestFit="1" customWidth="1"/>
    <col min="12" max="12" width="10.25" bestFit="1" customWidth="1"/>
  </cols>
  <sheetData>
    <row r="3" spans="2:13" ht="19.5" thickBot="1">
      <c r="C3" t="s">
        <v>82</v>
      </c>
    </row>
    <row r="4" spans="2:13">
      <c r="B4" s="75"/>
      <c r="C4" s="101" t="s">
        <v>16</v>
      </c>
      <c r="D4" s="102" t="s">
        <v>17</v>
      </c>
      <c r="E4" s="102" t="s">
        <v>18</v>
      </c>
      <c r="F4" s="102" t="s">
        <v>19</v>
      </c>
      <c r="G4" s="102" t="s">
        <v>20</v>
      </c>
      <c r="H4" s="102" t="s">
        <v>21</v>
      </c>
      <c r="I4" s="103" t="s">
        <v>22</v>
      </c>
      <c r="K4" s="2" t="s">
        <v>83</v>
      </c>
      <c r="L4" s="2"/>
      <c r="M4" s="2" t="s">
        <v>88</v>
      </c>
    </row>
    <row r="5" spans="2:13">
      <c r="B5" s="30"/>
      <c r="C5" s="104"/>
      <c r="D5" s="78">
        <v>1</v>
      </c>
      <c r="E5" s="78">
        <v>2</v>
      </c>
      <c r="F5" s="78">
        <v>3</v>
      </c>
      <c r="G5" s="78">
        <v>4</v>
      </c>
      <c r="H5" s="78">
        <v>5</v>
      </c>
      <c r="I5" s="105">
        <v>6</v>
      </c>
      <c r="K5" s="109" t="s">
        <v>25</v>
      </c>
      <c r="L5" s="110">
        <v>46217</v>
      </c>
      <c r="M5" s="2">
        <f ca="1">_xlfn.DAYS(L5,TODAY())</f>
        <v>24</v>
      </c>
    </row>
    <row r="6" spans="2:13">
      <c r="B6" s="30"/>
      <c r="C6" s="106">
        <v>7</v>
      </c>
      <c r="D6" s="78">
        <v>8</v>
      </c>
      <c r="E6" s="78">
        <v>9</v>
      </c>
      <c r="F6" s="78">
        <v>10</v>
      </c>
      <c r="G6" s="79">
        <v>11</v>
      </c>
      <c r="H6" s="79">
        <v>12</v>
      </c>
      <c r="I6" s="96">
        <v>13</v>
      </c>
      <c r="K6" s="111" t="s">
        <v>26</v>
      </c>
      <c r="L6" s="110">
        <v>46234</v>
      </c>
      <c r="M6" s="2">
        <f ca="1">_xlfn.DAYS(L6,TODAY())</f>
        <v>41</v>
      </c>
    </row>
    <row r="7" spans="2:13">
      <c r="B7" s="30"/>
      <c r="C7" s="95">
        <v>14</v>
      </c>
      <c r="D7" s="79">
        <v>15</v>
      </c>
      <c r="E7" s="79">
        <v>16</v>
      </c>
      <c r="F7" s="79">
        <v>17</v>
      </c>
      <c r="G7" s="79">
        <v>18</v>
      </c>
      <c r="H7" s="79">
        <v>19</v>
      </c>
      <c r="I7" s="96">
        <v>20</v>
      </c>
      <c r="K7" s="112" t="s">
        <v>27</v>
      </c>
      <c r="L7" s="110">
        <v>46253</v>
      </c>
      <c r="M7" s="2">
        <f ca="1">_xlfn.DAYS(L7,TODAY())</f>
        <v>60</v>
      </c>
    </row>
    <row r="8" spans="2:13">
      <c r="B8" s="30"/>
      <c r="C8" s="95">
        <v>21</v>
      </c>
      <c r="D8" s="79">
        <v>22</v>
      </c>
      <c r="E8" s="79">
        <v>23</v>
      </c>
      <c r="F8" s="79">
        <v>24</v>
      </c>
      <c r="G8" s="79">
        <v>25</v>
      </c>
      <c r="H8" s="79">
        <v>26</v>
      </c>
      <c r="I8" s="96">
        <v>27</v>
      </c>
      <c r="K8" s="113" t="s">
        <v>28</v>
      </c>
      <c r="L8" s="110">
        <v>46258</v>
      </c>
      <c r="M8" s="2">
        <f ca="1">_xlfn.DAYS(L8,TODAY())</f>
        <v>65</v>
      </c>
    </row>
    <row r="9" spans="2:13" ht="19.5" thickBot="1">
      <c r="B9" s="30"/>
      <c r="C9" s="107">
        <v>28</v>
      </c>
      <c r="D9" s="108">
        <v>29</v>
      </c>
      <c r="E9" s="108">
        <v>30</v>
      </c>
      <c r="F9" s="93"/>
      <c r="G9" s="93"/>
      <c r="H9" s="93"/>
      <c r="I9" s="94"/>
    </row>
    <row r="11" spans="2:13" ht="19.5" thickBot="1">
      <c r="B11" s="75"/>
      <c r="C11" s="75" t="s">
        <v>23</v>
      </c>
      <c r="D11" s="76"/>
      <c r="E11" s="76"/>
      <c r="F11" s="76"/>
      <c r="G11" s="76"/>
      <c r="H11" s="76"/>
      <c r="I11" s="76"/>
      <c r="K11" s="2" t="s">
        <v>84</v>
      </c>
      <c r="L11" s="114">
        <f>DATE(2026,6,11)</f>
        <v>46184</v>
      </c>
    </row>
    <row r="12" spans="2:13">
      <c r="B12" s="75"/>
      <c r="C12" s="84"/>
      <c r="D12" s="85"/>
      <c r="E12" s="85"/>
      <c r="F12" s="28">
        <v>1</v>
      </c>
      <c r="G12" s="28">
        <v>2</v>
      </c>
      <c r="H12" s="28">
        <v>3</v>
      </c>
      <c r="I12" s="29">
        <v>4</v>
      </c>
      <c r="K12" s="2" t="s">
        <v>85</v>
      </c>
      <c r="L12" s="114">
        <f ca="1">TODAY()</f>
        <v>46193</v>
      </c>
    </row>
    <row r="13" spans="2:13">
      <c r="B13" s="75"/>
      <c r="C13" s="95">
        <v>5</v>
      </c>
      <c r="D13" s="79">
        <v>6</v>
      </c>
      <c r="E13" s="79">
        <v>7</v>
      </c>
      <c r="F13" s="79">
        <v>8</v>
      </c>
      <c r="G13" s="79">
        <v>9</v>
      </c>
      <c r="H13" s="79">
        <v>10</v>
      </c>
      <c r="I13" s="96">
        <v>11</v>
      </c>
      <c r="K13" s="2" t="s">
        <v>87</v>
      </c>
      <c r="L13" s="2">
        <f ca="1">_xlfn.DAYS(L12,L11)</f>
        <v>9</v>
      </c>
    </row>
    <row r="14" spans="2:13">
      <c r="B14" s="75"/>
      <c r="C14" s="95">
        <v>12</v>
      </c>
      <c r="D14" s="79">
        <v>13</v>
      </c>
      <c r="E14" s="79">
        <v>14</v>
      </c>
      <c r="F14" s="81">
        <v>15</v>
      </c>
      <c r="G14" s="81">
        <v>16</v>
      </c>
      <c r="H14" s="81">
        <v>17</v>
      </c>
      <c r="I14" s="97">
        <v>18</v>
      </c>
      <c r="K14" s="2" t="s">
        <v>70</v>
      </c>
      <c r="L14" s="2">
        <f>コスト表!K4</f>
        <v>82</v>
      </c>
    </row>
    <row r="15" spans="2:13">
      <c r="B15" s="75"/>
      <c r="C15" s="98">
        <v>19</v>
      </c>
      <c r="D15" s="81">
        <v>20</v>
      </c>
      <c r="E15" s="81">
        <v>21</v>
      </c>
      <c r="F15" s="81">
        <v>22</v>
      </c>
      <c r="G15" s="81">
        <v>23</v>
      </c>
      <c r="H15" s="81">
        <v>24</v>
      </c>
      <c r="I15" s="97">
        <v>25</v>
      </c>
      <c r="K15" s="2" t="s">
        <v>86</v>
      </c>
      <c r="L15" s="2">
        <f>コスト表!L4</f>
        <v>6</v>
      </c>
    </row>
    <row r="16" spans="2:13" ht="19.5" thickBot="1">
      <c r="C16" s="99">
        <v>26</v>
      </c>
      <c r="D16" s="100">
        <v>27</v>
      </c>
      <c r="E16" s="100">
        <v>28</v>
      </c>
      <c r="F16" s="100">
        <v>29</v>
      </c>
      <c r="G16" s="100">
        <v>30</v>
      </c>
      <c r="H16" s="100">
        <v>31</v>
      </c>
      <c r="I16" s="94"/>
      <c r="K16" s="2" t="s">
        <v>89</v>
      </c>
      <c r="L16" s="115">
        <f ca="1">(L14-L15)/M8</f>
        <v>1.1692307692307693</v>
      </c>
    </row>
    <row r="17" spans="2:9">
      <c r="B17" s="75"/>
    </row>
    <row r="18" spans="2:9" ht="19.5" thickBot="1">
      <c r="B18" s="75"/>
      <c r="C18" s="76" t="s">
        <v>24</v>
      </c>
      <c r="D18" s="76"/>
      <c r="E18" s="76"/>
      <c r="F18" s="76"/>
      <c r="G18" s="76"/>
      <c r="H18" s="76"/>
      <c r="I18" s="76"/>
    </row>
    <row r="19" spans="2:9">
      <c r="B19" s="75"/>
      <c r="C19" s="84"/>
      <c r="D19" s="85"/>
      <c r="E19" s="85"/>
      <c r="F19" s="85"/>
      <c r="G19" s="85"/>
      <c r="H19" s="85"/>
      <c r="I19" s="86">
        <v>1</v>
      </c>
    </row>
    <row r="20" spans="2:9">
      <c r="B20" s="75"/>
      <c r="C20" s="87">
        <v>2</v>
      </c>
      <c r="D20" s="82">
        <v>3</v>
      </c>
      <c r="E20" s="82">
        <v>4</v>
      </c>
      <c r="F20" s="82">
        <v>5</v>
      </c>
      <c r="G20" s="82">
        <v>6</v>
      </c>
      <c r="H20" s="82">
        <v>7</v>
      </c>
      <c r="I20" s="88">
        <v>8</v>
      </c>
    </row>
    <row r="21" spans="2:9">
      <c r="B21" s="75"/>
      <c r="C21" s="87">
        <v>9</v>
      </c>
      <c r="D21" s="82">
        <v>10</v>
      </c>
      <c r="E21" s="82">
        <v>11</v>
      </c>
      <c r="F21" s="82">
        <v>12</v>
      </c>
      <c r="G21" s="82">
        <v>13</v>
      </c>
      <c r="H21" s="82">
        <v>14</v>
      </c>
      <c r="I21" s="88">
        <v>15</v>
      </c>
    </row>
    <row r="22" spans="2:9">
      <c r="B22" s="75"/>
      <c r="C22" s="87">
        <v>16</v>
      </c>
      <c r="D22" s="82">
        <v>17</v>
      </c>
      <c r="E22" s="82">
        <v>18</v>
      </c>
      <c r="F22" s="82">
        <v>19</v>
      </c>
      <c r="G22" s="83">
        <v>20</v>
      </c>
      <c r="H22" s="83">
        <v>21</v>
      </c>
      <c r="I22" s="89">
        <v>22</v>
      </c>
    </row>
    <row r="23" spans="2:9">
      <c r="C23" s="90">
        <v>23</v>
      </c>
      <c r="D23" s="83">
        <v>24</v>
      </c>
      <c r="E23" s="80">
        <v>25</v>
      </c>
      <c r="F23" s="80">
        <v>26</v>
      </c>
      <c r="G23" s="80">
        <v>27</v>
      </c>
      <c r="H23" s="80">
        <v>28</v>
      </c>
      <c r="I23" s="91">
        <v>29</v>
      </c>
    </row>
    <row r="24" spans="2:9" ht="19.5" thickBot="1">
      <c r="C24" s="92">
        <v>30</v>
      </c>
      <c r="D24" s="93">
        <v>31</v>
      </c>
      <c r="E24" s="93"/>
      <c r="F24" s="93"/>
      <c r="G24" s="93"/>
      <c r="H24" s="93"/>
      <c r="I24" s="94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w t</cp:lastModifiedBy>
  <dcterms:created xsi:type="dcterms:W3CDTF">2026-06-10T00:51:26Z</dcterms:created>
  <dcterms:modified xsi:type="dcterms:W3CDTF">2026-06-20T07:00:44Z</dcterms:modified>
</cp:coreProperties>
</file>