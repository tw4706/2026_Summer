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1B842FF3-05A1-403F-96F3-36BE8CC0773C}" xr6:coauthVersionLast="47" xr6:coauthVersionMax="47" xr10:uidLastSave="{00000000-0000-0000-0000-000000000000}"/>
  <bookViews>
    <workbookView xWindow="1560" yWindow="-14730" windowWidth="21600" windowHeight="13965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<sst xmlns="http://schemas.openxmlformats.org/spreadsheetml/2006/main" count="283" uniqueCount="101">
  <si>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</si>
  <si>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</si>
  <si>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</si>
  <si>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</si>
  <si>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</si>
  <si>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</si>
  <si>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</si>
  <si>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</si>
  <si>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</si>
  <si>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</si>
  <si>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</si>
  <si>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</si>
  <si>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</si>
  <si>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</si>
  <si>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</si>
  <si>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</si>
  <si>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</si>
  <si>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</si>
  <si>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</si>
  <si>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</si>
  <si>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</si>
  <si>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</si>
  <si>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</si>
  <si>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</si>
  <si>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</si>
  <si>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</si>
  <si>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</si>
  <si>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</si>
  <si>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</si>
  <si>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</si>
  <si>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</si>
  <si>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</si>
  <si>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</si>
  <si>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</si>
  <si>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</si>
  <si>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</si>
  <si>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</si>
  <si>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</si>
  <si>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</si>
  <si>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</si>
  <si>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</si>
  <si>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</si>
  <si>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</si>
  <si>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</si>
  <si>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</si>
  <si>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</si>
  <si>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</si>
  <si>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</si>
  <si>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</si>
  <si>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</si>
  <si>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</si>
  <si>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</si>
  <si>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</si>
  <si>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</si>
  <si>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</si>
  <si>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</si>
  <si>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</si>
  <si>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</si>
  <si>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</si>
  <si>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</si>
  <si>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</si>
  <si>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</si>
  <si>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</si>
  <si>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</si>
  <si>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</si>
  <si>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</si>
  <si>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</si>
  <si>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</si>
  <si>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</si>
  <si>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</si>
  <si>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</si>
  <si>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</si>
  <si>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</si>
  <si>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</si>
  <si>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</si>
  <si>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</si>
  <si>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</si>
  <si>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</si>
  <si>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</si>
  <si>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</si>
  <si>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</si>
  <si>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</si>
  <si>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</si>
  <si>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</si>
  <si>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</si>
  <si>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</si>
  <si>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</si>
  <si>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</si>
  <si>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</si>
  <si>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</si>
  <si>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</si>
  <si>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</si>
  <si>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</si>
  <si>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</si>
  <si>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</si>
  <si>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</si>
  <si>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</si>
  <si>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</si>
  <si>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</si>
  <si>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スポナー</t>
    <phoneticPr fontId="1"/>
  </si>
  <si>
    <t>球とポリゴンの当たり判定</t>
    <rPh sb="0" eb="1">
      <t>キュウ</t>
    </rPh>
    <rPh sb="7" eb="8">
      <t>ア</t>
    </rPh>
    <rPh sb="10" eb="12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</si>
</sst>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4"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9" totalsRowShown="0" headerRowDxfId="13" dataDxfId="11" headerRowBorderDxfId="12" tableBorderDxfId="10" totalsRowBorderDxfId="9">
  <autoFilter ref="B3:H49" xr:uid="{935F7255-1AB1-4CF6-B090-10E22EB9181F}"/>
  <sortState xmlns:xlrd2="http://schemas.microsoft.com/office/spreadsheetml/2017/richdata2" ref="B4:H39">
    <sortCondition sortBy="fontColor" ref="F3:F39" dxfId="8"/>
  </sortState>
  <tableColumns count="7">
    <tableColumn id="1" xr3:uid="{DBD721D9-31E7-4852-8751-88A020768938}" name="役割" dataDxfId="7"/>
    <tableColumn id="8" xr3:uid="{3A719BC1-D049-45A6-828B-0FEEDD23AE1D}" name="内容" dataDxfId="6"/>
    <tableColumn id="3" xr3:uid="{B983F2FB-E4C1-4AAB-8082-88DC198AD31B}" name="優先度" dataDxfId="5"/>
    <tableColumn id="4" xr3:uid="{5D1C8FFC-8CC7-42BC-9650-F477F1294E92}" name="バージョン" dataDxfId="4"/>
    <tableColumn id="2" xr3:uid="{9F12BE3B-0DD1-41C1-8C2C-AF6C8F247D3C}" name="想定コスト" dataDxfId="3"/>
    <tableColumn id="6" xr3:uid="{13FB0F58-83C3-4C72-867B-ED29D88D66FA}" name="実コスト" dataDxfId="2"/>
    <tableColumn id="7" xr3:uid="{B9DAC499-4733-4C1B-85B6-D412A0C2495C}" name="ステータス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0"/>
  <sheetViews>
    <sheetView tabSelected="1" topLeftCell="A26" workbookViewId="0">
      <selection activeCell="F41" sqref="F41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104</v>
      </c>
      <c r="L4" s="41">
        <f>SUMIF(テーブル1[ステータス],"未完了",テーブル1[想定コスト])</f>
        <v>49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71</v>
      </c>
      <c r="L5" s="42">
        <f>SUMIFS(テーブル1[想定コスト],テーブル1[バージョン],J5,テーブル1[ステータス],"未完了")</f>
        <v>21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28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100</v>
      </c>
      <c r="D9" s="6" t="s">
        <v>41</v>
      </c>
      <c r="E9" s="7" t="s">
        <v>25</v>
      </c>
      <c r="F9" s="25">
        <v>3</v>
      </c>
      <c r="G9" s="8"/>
      <c r="H9" s="9" t="s">
        <v>78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8"/>
      <c r="H14" s="9" t="s">
        <v>78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8"/>
      <c r="H16" s="9" t="s">
        <v>78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8"/>
      <c r="H17" s="9" t="s">
        <v>78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8"/>
      <c r="H18" s="9" t="s">
        <v>78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8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8"/>
      <c r="H28" s="9" t="s">
        <v>78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>
        <v>8</v>
      </c>
      <c r="H29" s="9" t="s">
        <v>77</v>
      </c>
    </row>
    <row r="30" spans="2:12">
      <c r="B30" s="11" t="s">
        <v>62</v>
      </c>
      <c r="C30" s="6" t="s">
        <v>99</v>
      </c>
      <c r="D30" s="6" t="s">
        <v>41</v>
      </c>
      <c r="E30" s="25" t="s">
        <v>25</v>
      </c>
      <c r="F30" s="25">
        <v>5</v>
      </c>
      <c r="G30" s="8"/>
      <c r="H30" s="9" t="s">
        <v>78</v>
      </c>
      <c r="L30" s="28"/>
    </row>
    <row r="31" spans="2:12">
      <c r="B31" s="12" t="s">
        <v>36</v>
      </c>
      <c r="C31" s="6" t="s">
        <v>94</v>
      </c>
      <c r="D31" s="6" t="s">
        <v>41</v>
      </c>
      <c r="E31" s="25" t="s">
        <v>25</v>
      </c>
      <c r="F31" s="25">
        <v>2</v>
      </c>
      <c r="G31" s="25">
        <v>1</v>
      </c>
      <c r="H31" s="9" t="s">
        <v>77</v>
      </c>
      <c r="L31" s="28"/>
    </row>
    <row r="32" spans="2:12">
      <c r="B32" s="12" t="s">
        <v>36</v>
      </c>
      <c r="C32" s="6" t="s">
        <v>56</v>
      </c>
      <c r="D32" s="6" t="s">
        <v>41</v>
      </c>
      <c r="E32" s="25" t="s">
        <v>26</v>
      </c>
      <c r="F32" s="25">
        <v>5</v>
      </c>
      <c r="G32" s="8"/>
      <c r="H32" s="9" t="s">
        <v>78</v>
      </c>
    </row>
    <row r="33" spans="1:8">
      <c r="B33" s="24" t="s">
        <v>40</v>
      </c>
      <c r="C33" s="6" t="s">
        <v>57</v>
      </c>
      <c r="D33" s="6" t="s">
        <v>42</v>
      </c>
      <c r="E33" s="25" t="s">
        <v>25</v>
      </c>
      <c r="F33" s="25">
        <v>1</v>
      </c>
      <c r="G33" s="8"/>
      <c r="H33" s="9" t="s">
        <v>78</v>
      </c>
    </row>
    <row r="34" spans="1:8">
      <c r="B34" s="24" t="s">
        <v>40</v>
      </c>
      <c r="C34" s="6" t="s">
        <v>58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59</v>
      </c>
      <c r="D35" s="6" t="s">
        <v>42</v>
      </c>
      <c r="E35" s="25" t="s">
        <v>25</v>
      </c>
      <c r="F35" s="25">
        <v>1</v>
      </c>
      <c r="G35" s="8"/>
      <c r="H35" s="9" t="s">
        <v>78</v>
      </c>
    </row>
    <row r="36" spans="1:8">
      <c r="B36" s="24" t="s">
        <v>40</v>
      </c>
      <c r="C36" s="6" t="s">
        <v>60</v>
      </c>
      <c r="D36" s="6" t="s">
        <v>43</v>
      </c>
      <c r="E36" s="25" t="s">
        <v>26</v>
      </c>
      <c r="F36" s="25">
        <v>1</v>
      </c>
      <c r="G36" s="8"/>
      <c r="H36" s="9" t="s">
        <v>78</v>
      </c>
    </row>
    <row r="37" spans="1:8">
      <c r="B37" s="10" t="s">
        <v>66</v>
      </c>
      <c r="C37" s="6" t="s">
        <v>46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B38" s="10" t="s">
        <v>66</v>
      </c>
      <c r="C38" s="6" t="s">
        <v>67</v>
      </c>
      <c r="D38" s="6" t="s">
        <v>41</v>
      </c>
      <c r="E38" s="25" t="s">
        <v>25</v>
      </c>
      <c r="F38" s="25">
        <v>1</v>
      </c>
      <c r="G38" s="25">
        <v>1</v>
      </c>
      <c r="H38" s="9" t="s">
        <v>77</v>
      </c>
    </row>
    <row r="39" spans="1:8">
      <c r="A39" s="29"/>
      <c r="B39" s="10" t="s">
        <v>66</v>
      </c>
      <c r="C39" s="6" t="s">
        <v>73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A40" s="29"/>
      <c r="B40" s="10" t="s">
        <v>66</v>
      </c>
      <c r="C40" s="6" t="s">
        <v>74</v>
      </c>
      <c r="D40" s="6" t="s">
        <v>42</v>
      </c>
      <c r="E40" s="25" t="s">
        <v>26</v>
      </c>
      <c r="F40" s="25">
        <v>3</v>
      </c>
      <c r="G40" s="8"/>
      <c r="H40" s="9" t="s">
        <v>78</v>
      </c>
    </row>
    <row r="41" spans="1:8">
      <c r="B41" s="10" t="s">
        <v>66</v>
      </c>
      <c r="C41" s="6" t="s">
        <v>79</v>
      </c>
      <c r="D41" s="6" t="s">
        <v>41</v>
      </c>
      <c r="E41" s="25" t="s">
        <v>26</v>
      </c>
      <c r="F41" s="25">
        <v>3</v>
      </c>
      <c r="G41" s="8"/>
      <c r="H41" s="9" t="s">
        <v>78</v>
      </c>
    </row>
    <row r="42" spans="1:8">
      <c r="A42" s="92"/>
      <c r="B42" s="5" t="s">
        <v>38</v>
      </c>
      <c r="C42" s="6" t="s">
        <v>72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A43" s="92"/>
      <c r="B43" s="34" t="s">
        <v>39</v>
      </c>
      <c r="C43" s="6" t="s">
        <v>71</v>
      </c>
      <c r="D43" s="6" t="s">
        <v>41</v>
      </c>
      <c r="E43" s="25" t="s">
        <v>26</v>
      </c>
      <c r="F43" s="96">
        <v>2</v>
      </c>
      <c r="G43" s="8"/>
      <c r="H43" s="9" t="s">
        <v>78</v>
      </c>
    </row>
    <row r="44" spans="1:8">
      <c r="B44" s="33" t="s">
        <v>37</v>
      </c>
      <c r="C44" s="6"/>
      <c r="D44" s="6"/>
      <c r="E44" s="25"/>
      <c r="F44" s="95"/>
      <c r="G44" s="8"/>
      <c r="H44" s="9"/>
    </row>
    <row r="45" spans="1:8">
      <c r="B45" s="34" t="s">
        <v>88</v>
      </c>
      <c r="C45" s="6" t="s">
        <v>89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90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34" t="s">
        <v>88</v>
      </c>
      <c r="C47" s="6" t="s">
        <v>91</v>
      </c>
      <c r="D47" s="6" t="s">
        <v>41</v>
      </c>
      <c r="E47" s="25" t="s">
        <v>26</v>
      </c>
      <c r="F47" s="25">
        <v>1</v>
      </c>
      <c r="G47" s="25">
        <v>1</v>
      </c>
      <c r="H47" s="9" t="s">
        <v>77</v>
      </c>
    </row>
    <row r="48" spans="1:8">
      <c r="B48" s="93" t="s">
        <v>88</v>
      </c>
      <c r="C48" s="13" t="s">
        <v>92</v>
      </c>
      <c r="D48" s="13" t="s">
        <v>41</v>
      </c>
      <c r="E48" s="95" t="s">
        <v>26</v>
      </c>
      <c r="F48" s="95">
        <v>1</v>
      </c>
      <c r="G48" s="14"/>
      <c r="H48" s="94" t="s">
        <v>78</v>
      </c>
    </row>
    <row r="49" spans="2:8">
      <c r="B49" s="34" t="s">
        <v>88</v>
      </c>
      <c r="C49" s="6" t="s">
        <v>93</v>
      </c>
      <c r="D49" s="6" t="s">
        <v>41</v>
      </c>
      <c r="E49" s="25" t="s">
        <v>26</v>
      </c>
      <c r="F49" s="40">
        <v>2</v>
      </c>
      <c r="G49" s="8"/>
      <c r="H49" s="9" t="s">
        <v>78</v>
      </c>
    </row>
    <row r="50" spans="2:8">
      <c r="B50" s="31"/>
      <c r="C50" s="30"/>
      <c r="D50" s="30"/>
      <c r="E50" s="32"/>
      <c r="F50" s="30"/>
      <c r="G50" s="30"/>
      <c r="H50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12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29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48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53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46205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21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104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49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2026-07-02T01:12:14Z</dcterms:modified>
</cp:coreProperties>
</file>