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GitHub\2026_Summer\"/>
    </mc:Choice>
  </mc:AlternateContent>
  <xr:revisionPtr revIDLastSave="0" documentId="13_ncr:1_{0F52C4FE-5E74-4CED-B84C-E2424FD78B6D}" xr6:coauthVersionLast="47" xr6:coauthVersionMax="47" xr10:uidLastSave="{00000000-0000-0000-0000-000000000000}"/>
  <bookViews>
    <workbookView xWindow="1065" yWindow="-15030" windowWidth="21600" windowHeight="11295" activeTab="3" xr2:uid="{3C510CAE-AB3A-463F-A0D4-BBB49D2AE695}"/>
  </bookViews>
  <sheets>
    <sheet name="コスト表" sheetId="1" r:id="rId1"/>
    <sheet name="スケジュール" sheetId="3" r:id="rId2"/>
    <sheet name="クラス設計・概要" sheetId="2" r:id="rId3"/>
    <sheet name="memo"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L15" i="3" l="1"/>
  <c r="L11" i="3"/>
  <c r="L4" i="1"/>
  <c r="M5" i="3"/>
  <c r="M6" i="3"/>
  <c r="M7" i="3"/>
  <c r="M8" i="3"/>
  <c r="L12" i="3"/>
  <c r="L13" i="3" s="1"/>
  <c r="K4" i="1"/>
  <c r="L14" i="3" s="1"/>
  <c r="L7" i="1" l="1"/>
  <c r="L6" i="1"/>
  <c r="L8" i="1"/>
  <c r="L5" i="1"/>
  <c r="K6" i="1"/>
  <c r="K5" i="1"/>
  <c r="K8" i="1"/>
  <c r="K7" i="1"/>
</calcChain>
</file>

<file path=xl/sharedStrings.xml><?xml version="1.0" encoding="utf-8"?>
<sst xmlns="http://schemas.openxmlformats.org/spreadsheetml/2006/main" count="330" uniqueCount="125">
  <si>
    <t>プレイヤー</t>
    <phoneticPr fontId="1"/>
  </si>
  <si>
    <t>・移動</t>
    <rPh sb="1" eb="3">
      <t>イドウ</t>
    </rPh>
    <phoneticPr fontId="1"/>
  </si>
  <si>
    <t>・攻撃</t>
    <rPh sb="1" eb="3">
      <t>コウゲキ</t>
    </rPh>
    <phoneticPr fontId="1"/>
  </si>
  <si>
    <t>・回避</t>
    <rPh sb="1" eb="3">
      <t>カイヒ</t>
    </rPh>
    <phoneticPr fontId="1"/>
  </si>
  <si>
    <t>・防御(出来たらジャストパリイをしたい)</t>
    <rPh sb="1" eb="3">
      <t>ボウギョ</t>
    </rPh>
    <rPh sb="4" eb="6">
      <t>デキ</t>
    </rPh>
    <phoneticPr fontId="1"/>
  </si>
  <si>
    <t>→コンボ(3段)</t>
    <rPh sb="6" eb="7">
      <t>ダン</t>
    </rPh>
    <phoneticPr fontId="1"/>
  </si>
  <si>
    <t>・死亡</t>
    <rPh sb="1" eb="3">
      <t>シボウ</t>
    </rPh>
    <phoneticPr fontId="1"/>
  </si>
  <si>
    <t>・待機</t>
    <rPh sb="1" eb="3">
      <t>タイキ</t>
    </rPh>
    <phoneticPr fontId="1"/>
  </si>
  <si>
    <t>・移動(経路探索)</t>
    <rPh sb="1" eb="3">
      <t>イドウ</t>
    </rPh>
    <rPh sb="4" eb="8">
      <t>ケイロタンサク</t>
    </rPh>
    <phoneticPr fontId="1"/>
  </si>
  <si>
    <t>・ダメージ</t>
    <phoneticPr fontId="1"/>
  </si>
  <si>
    <t>敵(雑魚敵2種、ボス1種作る予定)</t>
    <rPh sb="0" eb="1">
      <t>テキ</t>
    </rPh>
    <rPh sb="2" eb="4">
      <t>ザコ</t>
    </rPh>
    <rPh sb="4" eb="5">
      <t>テキ</t>
    </rPh>
    <rPh sb="6" eb="7">
      <t>シュ</t>
    </rPh>
    <rPh sb="11" eb="12">
      <t>シュ</t>
    </rPh>
    <rPh sb="12" eb="13">
      <t>ツク</t>
    </rPh>
    <rPh sb="14" eb="16">
      <t>ヨテイ</t>
    </rPh>
    <phoneticPr fontId="1"/>
  </si>
  <si>
    <t>→ボスの場合は必殺技</t>
    <rPh sb="4" eb="6">
      <t>バアイ</t>
    </rPh>
    <rPh sb="7" eb="10">
      <t>ヒッサツワザ</t>
    </rPh>
    <phoneticPr fontId="1"/>
  </si>
  <si>
    <t>→1種類の雑魚敵は攻撃パターンを3つにする</t>
    <rPh sb="2" eb="4">
      <t>シュルイ</t>
    </rPh>
    <rPh sb="5" eb="8">
      <t>ザコテキ</t>
    </rPh>
    <rPh sb="9" eb="11">
      <t>コウゲキ</t>
    </rPh>
    <phoneticPr fontId="1"/>
  </si>
  <si>
    <t>※プレイヤーを見つけ次第最短距離で移動するようにする(経路探索)</t>
    <rPh sb="7" eb="8">
      <t>ミ</t>
    </rPh>
    <rPh sb="10" eb="12">
      <t>シダイ</t>
    </rPh>
    <rPh sb="12" eb="16">
      <t>サイタンキョリ</t>
    </rPh>
    <rPh sb="17" eb="19">
      <t>イドウ</t>
    </rPh>
    <rPh sb="27" eb="31">
      <t>ケイロタンサク</t>
    </rPh>
    <phoneticPr fontId="1"/>
  </si>
  <si>
    <t>※敵はプレイヤーの残りHPや状態を見て攻撃行動を変えるようにしたい</t>
    <phoneticPr fontId="1"/>
  </si>
  <si>
    <t>・キャラクターのやること</t>
    <phoneticPr fontId="1"/>
  </si>
  <si>
    <t>日</t>
    <rPh sb="0" eb="1">
      <t>ニチ</t>
    </rPh>
    <phoneticPr fontId="1"/>
  </si>
  <si>
    <t>月</t>
    <rPh sb="0" eb="1">
      <t>ゲツ</t>
    </rPh>
    <phoneticPr fontId="1"/>
  </si>
  <si>
    <t>火</t>
    <rPh sb="0" eb="1">
      <t>ヒ</t>
    </rPh>
    <phoneticPr fontId="1"/>
  </si>
  <si>
    <t>水</t>
    <rPh sb="0" eb="1">
      <t>ミズ</t>
    </rPh>
    <phoneticPr fontId="1"/>
  </si>
  <si>
    <t>木</t>
    <rPh sb="0" eb="1">
      <t>キ</t>
    </rPh>
    <phoneticPr fontId="1"/>
  </si>
  <si>
    <t>金　</t>
    <rPh sb="0" eb="1">
      <t>キン</t>
    </rPh>
    <phoneticPr fontId="1"/>
  </si>
  <si>
    <t>土</t>
    <rPh sb="0" eb="1">
      <t>ツチ</t>
    </rPh>
    <phoneticPr fontId="1"/>
  </si>
  <si>
    <t>7月</t>
    <rPh sb="1" eb="2">
      <t>ガツ</t>
    </rPh>
    <phoneticPr fontId="1"/>
  </si>
  <si>
    <t>8月</t>
    <rPh sb="1" eb="2">
      <t>ガツ</t>
    </rPh>
    <phoneticPr fontId="1"/>
  </si>
  <si>
    <t>プロト</t>
    <phoneticPr fontId="1"/>
  </si>
  <si>
    <t>アルファ</t>
    <phoneticPr fontId="1"/>
  </si>
  <si>
    <t>ベータ</t>
    <phoneticPr fontId="1"/>
  </si>
  <si>
    <t>マスタ</t>
    <phoneticPr fontId="1"/>
  </si>
  <si>
    <t>優先度</t>
  </si>
  <si>
    <t>バージョン</t>
  </si>
  <si>
    <t>実コスト</t>
  </si>
  <si>
    <t>ステータス</t>
  </si>
  <si>
    <t>内容</t>
    <rPh sb="0" eb="2">
      <t>ナイヨウ</t>
    </rPh>
    <phoneticPr fontId="1"/>
  </si>
  <si>
    <t>役割</t>
    <rPh sb="0" eb="2">
      <t>ヤクワリ</t>
    </rPh>
    <phoneticPr fontId="1"/>
  </si>
  <si>
    <t>当たり判定</t>
    <rPh sb="0" eb="1">
      <t>ア</t>
    </rPh>
    <rPh sb="3" eb="5">
      <t>ハンテイ</t>
    </rPh>
    <phoneticPr fontId="1"/>
  </si>
  <si>
    <t>ステージ</t>
    <phoneticPr fontId="1"/>
  </si>
  <si>
    <t>UI</t>
    <phoneticPr fontId="1"/>
  </si>
  <si>
    <t>エフェクト</t>
    <phoneticPr fontId="1"/>
  </si>
  <si>
    <t>サウンド</t>
    <phoneticPr fontId="1"/>
  </si>
  <si>
    <t>シーン</t>
    <phoneticPr fontId="1"/>
  </si>
  <si>
    <t>S</t>
    <phoneticPr fontId="1"/>
  </si>
  <si>
    <t>A</t>
    <phoneticPr fontId="1"/>
  </si>
  <si>
    <t>B</t>
    <phoneticPr fontId="1"/>
  </si>
  <si>
    <t>カプセルとの当たり判定</t>
    <rPh sb="6" eb="7">
      <t>ア</t>
    </rPh>
    <rPh sb="9" eb="11">
      <t>ハンテイ</t>
    </rPh>
    <phoneticPr fontId="1"/>
  </si>
  <si>
    <t>球との当たり判定</t>
    <rPh sb="0" eb="1">
      <t>タマ</t>
    </rPh>
    <rPh sb="3" eb="4">
      <t>ア</t>
    </rPh>
    <rPh sb="6" eb="8">
      <t>ハンテイ</t>
    </rPh>
    <phoneticPr fontId="1"/>
  </si>
  <si>
    <t>移動</t>
    <rPh sb="0" eb="2">
      <t>イドウ</t>
    </rPh>
    <phoneticPr fontId="1"/>
  </si>
  <si>
    <t>攻撃</t>
    <rPh sb="0" eb="2">
      <t>コウゲキ</t>
    </rPh>
    <phoneticPr fontId="1"/>
  </si>
  <si>
    <t>回避</t>
    <rPh sb="0" eb="2">
      <t>カイヒ</t>
    </rPh>
    <phoneticPr fontId="1"/>
  </si>
  <si>
    <t>ガード</t>
    <phoneticPr fontId="1"/>
  </si>
  <si>
    <t>死亡</t>
    <rPh sb="0" eb="2">
      <t>シボウ</t>
    </rPh>
    <phoneticPr fontId="1"/>
  </si>
  <si>
    <t>ジャンプ</t>
    <phoneticPr fontId="1"/>
  </si>
  <si>
    <t>ダメージ</t>
    <phoneticPr fontId="1"/>
  </si>
  <si>
    <t>アニメーション</t>
    <phoneticPr fontId="1"/>
  </si>
  <si>
    <t>敵1</t>
    <rPh sb="0" eb="1">
      <t>テキ</t>
    </rPh>
    <phoneticPr fontId="1"/>
  </si>
  <si>
    <t>敵2</t>
    <rPh sb="0" eb="1">
      <t>テキ</t>
    </rPh>
    <phoneticPr fontId="1"/>
  </si>
  <si>
    <t>マップ制作</t>
    <rPh sb="3" eb="5">
      <t>セイサク</t>
    </rPh>
    <phoneticPr fontId="1"/>
  </si>
  <si>
    <t>タイトルシーン(仮置き)</t>
    <rPh sb="8" eb="10">
      <t>カリオ</t>
    </rPh>
    <phoneticPr fontId="1"/>
  </si>
  <si>
    <t>ゲームシーン(仮置き)</t>
    <rPh sb="7" eb="9">
      <t>カリオ</t>
    </rPh>
    <phoneticPr fontId="1"/>
  </si>
  <si>
    <t>リザルトシーン(仮置き)</t>
    <rPh sb="8" eb="10">
      <t>カリオ</t>
    </rPh>
    <phoneticPr fontId="1"/>
  </si>
  <si>
    <t>オプション画面(仮置き)</t>
    <rPh sb="5" eb="7">
      <t>ガメン</t>
    </rPh>
    <rPh sb="8" eb="10">
      <t>カリオ</t>
    </rPh>
    <phoneticPr fontId="1"/>
  </si>
  <si>
    <t>クラス設計</t>
    <rPh sb="3" eb="5">
      <t>セッケイ</t>
    </rPh>
    <phoneticPr fontId="1"/>
  </si>
  <si>
    <t>敵共通</t>
    <rPh sb="0" eb="3">
      <t>テキキョウツウ</t>
    </rPh>
    <phoneticPr fontId="1"/>
  </si>
  <si>
    <t>想定コスト</t>
    <rPh sb="0" eb="2">
      <t>ソウテイ</t>
    </rPh>
    <phoneticPr fontId="1"/>
  </si>
  <si>
    <t>1コスト1時間</t>
    <rPh sb="5" eb="7">
      <t>ジカン</t>
    </rPh>
    <phoneticPr fontId="1"/>
  </si>
  <si>
    <t>ボス</t>
    <phoneticPr fontId="1"/>
  </si>
  <si>
    <t>カメラ</t>
    <phoneticPr fontId="1"/>
  </si>
  <si>
    <t>回転</t>
    <rPh sb="0" eb="2">
      <t>カイテン</t>
    </rPh>
    <phoneticPr fontId="1"/>
  </si>
  <si>
    <t>総コスト</t>
    <rPh sb="0" eb="1">
      <t>ソウ</t>
    </rPh>
    <phoneticPr fontId="1"/>
  </si>
  <si>
    <t>バージョン</t>
    <phoneticPr fontId="1"/>
  </si>
  <si>
    <t>全体</t>
    <rPh sb="0" eb="2">
      <t>ゼンタイ</t>
    </rPh>
    <phoneticPr fontId="1"/>
  </si>
  <si>
    <t>サウンドマネージャー実装</t>
    <rPh sb="10" eb="12">
      <t>ジッソウ</t>
    </rPh>
    <phoneticPr fontId="1"/>
  </si>
  <si>
    <t>エフェクトマネージャー実装</t>
    <rPh sb="11" eb="13">
      <t>ジッソウ</t>
    </rPh>
    <phoneticPr fontId="1"/>
  </si>
  <si>
    <t>ロックオン</t>
    <phoneticPr fontId="1"/>
  </si>
  <si>
    <t>ロックオン切り替え</t>
    <rPh sb="5" eb="6">
      <t>キ</t>
    </rPh>
    <rPh sb="7" eb="8">
      <t>カ</t>
    </rPh>
    <phoneticPr fontId="1"/>
  </si>
  <si>
    <t>経路探索</t>
    <rPh sb="0" eb="4">
      <t>ケイロタンサク</t>
    </rPh>
    <phoneticPr fontId="1"/>
  </si>
  <si>
    <t>残コスト</t>
    <rPh sb="0" eb="1">
      <t>ザン</t>
    </rPh>
    <phoneticPr fontId="1"/>
  </si>
  <si>
    <t>完了</t>
    <rPh sb="0" eb="2">
      <t>カンリョウ</t>
    </rPh>
    <phoneticPr fontId="1"/>
  </si>
  <si>
    <t>未完了</t>
    <rPh sb="0" eb="3">
      <t>ミカンリョウ</t>
    </rPh>
    <phoneticPr fontId="1"/>
  </si>
  <si>
    <t>ボス演出用カメラ</t>
    <rPh sb="2" eb="5">
      <t>エンシュツヨウ</t>
    </rPh>
    <phoneticPr fontId="1"/>
  </si>
  <si>
    <t>6月</t>
  </si>
  <si>
    <t>バージョンごとの締め切り(現時点での)</t>
    <rPh sb="8" eb="9">
      <t>シ</t>
    </rPh>
    <rPh sb="10" eb="11">
      <t>キ</t>
    </rPh>
    <rPh sb="13" eb="16">
      <t>ゲンジテン</t>
    </rPh>
    <phoneticPr fontId="1"/>
  </si>
  <si>
    <t>開始日</t>
    <rPh sb="0" eb="3">
      <t>カイシビ</t>
    </rPh>
    <phoneticPr fontId="1"/>
  </si>
  <si>
    <t>今日の日付</t>
    <rPh sb="0" eb="2">
      <t>キョウ</t>
    </rPh>
    <rPh sb="3" eb="5">
      <t>ヒヅケ</t>
    </rPh>
    <phoneticPr fontId="1"/>
  </si>
  <si>
    <t>消化コスト</t>
    <rPh sb="0" eb="2">
      <t>ショウカ</t>
    </rPh>
    <phoneticPr fontId="1"/>
  </si>
  <si>
    <t>経過日数</t>
    <rPh sb="0" eb="2">
      <t>ケイカ</t>
    </rPh>
    <rPh sb="2" eb="4">
      <t>ニッスウ</t>
    </rPh>
    <phoneticPr fontId="1"/>
  </si>
  <si>
    <t>残り日数</t>
    <rPh sb="0" eb="1">
      <t>ノコ</t>
    </rPh>
    <rPh sb="2" eb="4">
      <t>ニッスウ</t>
    </rPh>
    <phoneticPr fontId="1"/>
  </si>
  <si>
    <t>1日の消化コストの指標</t>
    <rPh sb="1" eb="2">
      <t>ニチ</t>
    </rPh>
    <rPh sb="3" eb="5">
      <t>ショウカ</t>
    </rPh>
    <rPh sb="9" eb="11">
      <t>シヒョウ</t>
    </rPh>
    <phoneticPr fontId="1"/>
  </si>
  <si>
    <t>素材探し</t>
    <rPh sb="0" eb="2">
      <t>ソザイ</t>
    </rPh>
    <rPh sb="2" eb="3">
      <t>サガ</t>
    </rPh>
    <phoneticPr fontId="1"/>
  </si>
  <si>
    <t>プレイヤーモデル</t>
    <phoneticPr fontId="1"/>
  </si>
  <si>
    <t>敵1モデル</t>
    <rPh sb="0" eb="1">
      <t>テキ</t>
    </rPh>
    <phoneticPr fontId="1"/>
  </si>
  <si>
    <t>敵2モデル</t>
    <rPh sb="0" eb="1">
      <t>テキ</t>
    </rPh>
    <phoneticPr fontId="1"/>
  </si>
  <si>
    <t>ボスモデル</t>
    <phoneticPr fontId="1"/>
  </si>
  <si>
    <t>ステージモデル</t>
    <phoneticPr fontId="1"/>
  </si>
  <si>
    <t>ステージ制作(仮置き)</t>
    <rPh sb="4" eb="6">
      <t>セイサク</t>
    </rPh>
    <rPh sb="7" eb="9">
      <t>カリオ</t>
    </rPh>
    <phoneticPr fontId="1"/>
  </si>
  <si>
    <t>プレイヤーの攻撃判定</t>
    <rPh sb="6" eb="10">
      <t>コウゲキハンテイ</t>
    </rPh>
    <phoneticPr fontId="1"/>
  </si>
  <si>
    <t>球とカプセルの当たり判定</t>
    <rPh sb="0" eb="1">
      <t>キュウ</t>
    </rPh>
    <rPh sb="7" eb="8">
      <t>ア</t>
    </rPh>
    <rPh sb="10" eb="12">
      <t>ハンテイ</t>
    </rPh>
    <phoneticPr fontId="1"/>
  </si>
  <si>
    <t>ポリゴンとカプセルの当たり判定</t>
    <rPh sb="10" eb="11">
      <t>ア</t>
    </rPh>
    <rPh sb="13" eb="15">
      <t>ハンテイ</t>
    </rPh>
    <phoneticPr fontId="1"/>
  </si>
  <si>
    <t>ステートマシン(攻撃)</t>
    <rPh sb="8" eb="10">
      <t>コウゲキ</t>
    </rPh>
    <phoneticPr fontId="1"/>
  </si>
  <si>
    <t>線分とポリゴンの当たり判定</t>
    <rPh sb="0" eb="2">
      <t>センブン</t>
    </rPh>
    <rPh sb="8" eb="9">
      <t>ア</t>
    </rPh>
    <rPh sb="11" eb="13">
      <t>ハンテイ</t>
    </rPh>
    <phoneticPr fontId="1"/>
  </si>
  <si>
    <t>・ボス前までの敵をすべて倒したらいったんリザルトに移行</t>
    <rPh sb="3" eb="4">
      <t>マエ</t>
    </rPh>
    <rPh sb="7" eb="8">
      <t>テキ</t>
    </rPh>
    <rPh sb="12" eb="13">
      <t>タオ</t>
    </rPh>
    <rPh sb="25" eb="27">
      <t>イコウ</t>
    </rPh>
    <phoneticPr fontId="1"/>
  </si>
  <si>
    <t>・敵の攻撃のステートマシンの仕様を固めて実装</t>
    <rPh sb="1" eb="2">
      <t>テキ</t>
    </rPh>
    <rPh sb="3" eb="5">
      <t>コウゲキ</t>
    </rPh>
    <rPh sb="14" eb="16">
      <t>シヨウ</t>
    </rPh>
    <rPh sb="17" eb="18">
      <t>カタ</t>
    </rPh>
    <rPh sb="20" eb="22">
      <t>ジッソウ</t>
    </rPh>
    <phoneticPr fontId="1"/>
  </si>
  <si>
    <t>敵の攻撃</t>
    <rPh sb="0" eb="1">
      <t>テキ</t>
    </rPh>
    <rPh sb="2" eb="4">
      <t>コウゲキ</t>
    </rPh>
    <phoneticPr fontId="1"/>
  </si>
  <si>
    <t>通常攻撃</t>
    <rPh sb="0" eb="4">
      <t>ツウジョウコウゲキ</t>
    </rPh>
    <phoneticPr fontId="1"/>
  </si>
  <si>
    <t>プレイヤーガードを何フレームか実行していたら</t>
    <rPh sb="9" eb="10">
      <t>ナン</t>
    </rPh>
    <rPh sb="15" eb="17">
      <t>ジッコウ</t>
    </rPh>
    <phoneticPr fontId="1"/>
  </si>
  <si>
    <t>プレイヤーが攻撃を続けていたら</t>
    <rPh sb="6" eb="8">
      <t>コウゲキ</t>
    </rPh>
    <rPh sb="9" eb="10">
      <t>ツヅ</t>
    </rPh>
    <phoneticPr fontId="1"/>
  </si>
  <si>
    <t>→敵がガード</t>
    <rPh sb="1" eb="2">
      <t>テキ</t>
    </rPh>
    <phoneticPr fontId="1"/>
  </si>
  <si>
    <t>→ジャンプ攻撃(ダメージを2倍とかにして、食らったらやばそうな雰囲気にする)</t>
    <rPh sb="5" eb="7">
      <t>コウゲキ</t>
    </rPh>
    <rPh sb="14" eb="15">
      <t>バイ</t>
    </rPh>
    <rPh sb="21" eb="22">
      <t>ク</t>
    </rPh>
    <rPh sb="31" eb="34">
      <t>フンイキ</t>
    </rPh>
    <phoneticPr fontId="1"/>
  </si>
  <si>
    <t>プロト終了までにやること</t>
    <rPh sb="3" eb="5">
      <t>シュウリョウ</t>
    </rPh>
    <phoneticPr fontId="1"/>
  </si>
  <si>
    <t>敵メモ</t>
    <rPh sb="0" eb="1">
      <t>テキ</t>
    </rPh>
    <phoneticPr fontId="1"/>
  </si>
  <si>
    <t>タイトル</t>
    <phoneticPr fontId="1"/>
  </si>
  <si>
    <t>→スタートボタン</t>
    <phoneticPr fontId="1"/>
  </si>
  <si>
    <t>→ゲーム終了ボタン</t>
    <phoneticPr fontId="1"/>
  </si>
  <si>
    <t>リザルト</t>
    <phoneticPr fontId="1"/>
  </si>
  <si>
    <t>→スコア表示</t>
    <rPh sb="4" eb="6">
      <t>ヒョウジ</t>
    </rPh>
    <phoneticPr fontId="1"/>
  </si>
  <si>
    <t>→リスタートボタン</t>
    <phoneticPr fontId="1"/>
  </si>
  <si>
    <t>→タイトルに戻るボタン</t>
    <phoneticPr fontId="1"/>
  </si>
  <si>
    <t>UIマネージャー実装</t>
    <rPh sb="8" eb="10">
      <t>ジッソウ</t>
    </rPh>
    <phoneticPr fontId="1"/>
  </si>
  <si>
    <t>強攻撃はプレイヤーのシールドをはがすとかでもいいかも</t>
    <rPh sb="0" eb="3">
      <t>キョウコウゲキ</t>
    </rPh>
    <phoneticPr fontId="1"/>
  </si>
  <si>
    <t>そしたらいろんなパターンでの攻略ができる</t>
    <rPh sb="14" eb="16">
      <t>コウリャク</t>
    </rPh>
    <phoneticPr fontId="1"/>
  </si>
  <si>
    <t>敵の視認範囲と反応範囲を持ち反応範囲に入ったら反応ステートに遷移し、
反応ステート時は視認範囲を敵に近づける</t>
    <rPh sb="0" eb="1">
      <t>テキ</t>
    </rPh>
    <rPh sb="2" eb="6">
      <t>シニンハンイ</t>
    </rPh>
    <rPh sb="7" eb="11">
      <t>ハンノウハンイ</t>
    </rPh>
    <rPh sb="12" eb="13">
      <t>モ</t>
    </rPh>
    <rPh sb="14" eb="18">
      <t>ハンノウハンイ</t>
    </rPh>
    <rPh sb="19" eb="20">
      <t>ハイ</t>
    </rPh>
    <rPh sb="23" eb="25">
      <t>ハンノウ</t>
    </rPh>
    <rPh sb="30" eb="32">
      <t>センイ</t>
    </rPh>
    <rPh sb="35" eb="37">
      <t>ハンノウ</t>
    </rPh>
    <rPh sb="41" eb="42">
      <t>ジ</t>
    </rPh>
    <rPh sb="43" eb="45">
      <t>シニン</t>
    </rPh>
    <rPh sb="45" eb="47">
      <t>ハンイ</t>
    </rPh>
    <rPh sb="48" eb="49">
      <t>テキ</t>
    </rPh>
    <rPh sb="50" eb="51">
      <t>チカ</t>
    </rPh>
    <phoneticPr fontId="1"/>
  </si>
  <si>
    <t>K2さんが来るまでにやること</t>
    <rPh sb="5" eb="6">
      <t>ク</t>
    </rPh>
    <phoneticPr fontId="1"/>
  </si>
  <si>
    <t>ソースコードでここは何をやっている処理なのかをもう少し詳しく説明できるようにする</t>
    <rPh sb="10" eb="11">
      <t>ナニ</t>
    </rPh>
    <rPh sb="17" eb="19">
      <t>ショリ</t>
    </rPh>
    <rPh sb="25" eb="26">
      <t>スコ</t>
    </rPh>
    <rPh sb="27" eb="28">
      <t>クワ</t>
    </rPh>
    <rPh sb="30" eb="32">
      <t>セツメイ</t>
    </rPh>
    <phoneticPr fontId="1"/>
  </si>
  <si>
    <t>敵同士の当たり判定をする</t>
    <rPh sb="0" eb="1">
      <t>テキ</t>
    </rPh>
    <rPh sb="1" eb="3">
      <t>ドウシ</t>
    </rPh>
    <rPh sb="4" eb="5">
      <t>ア</t>
    </rPh>
    <rPh sb="7" eb="9">
      <t>ハンテイ</t>
    </rPh>
    <phoneticPr fontId="1"/>
  </si>
  <si>
    <t>敵の動きを改善する(視線判定だったり、索敵範囲や経路探索)</t>
    <rPh sb="0" eb="1">
      <t>テキ</t>
    </rPh>
    <rPh sb="2" eb="3">
      <t>ウゴ</t>
    </rPh>
    <rPh sb="5" eb="7">
      <t>カイゼン</t>
    </rPh>
    <rPh sb="10" eb="14">
      <t>シセンハンテイ</t>
    </rPh>
    <rPh sb="19" eb="23">
      <t>サクテキハンイ</t>
    </rPh>
    <rPh sb="24" eb="28">
      <t>ケイロタンサク</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</si>
</sst>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0_);[Red]\(0.00\)"/>
  </numFmts>
  <fonts count="9">
    <font>
      <sz val="11"/>
      <color theme="1"/>
      <name val="游ゴシック"/>
      <family val="2"/>
      <charset val="128"/>
      <scheme val="minor"/>
    </font>
    <font>
      <sz val="6"/>
      <name val="游ゴシック"/>
      <family val="2"/>
      <charset val="128"/>
      <scheme val="minor"/>
    </font>
    <font>
      <b/>
      <sz val="11"/>
      <color rgb="FFFFFFFF"/>
      <name val="游ゴシック"/>
      <family val="3"/>
      <charset val="128"/>
      <scheme val="minor"/>
    </font>
    <font>
      <sz val="11"/>
      <color theme="0"/>
      <name val="游ゴシック"/>
      <family val="3"/>
      <charset val="128"/>
      <scheme val="minor"/>
    </font>
    <font>
      <b/>
      <sz val="11"/>
      <color theme="0"/>
      <name val="游ゴシック"/>
      <family val="3"/>
      <charset val="128"/>
      <scheme val="minor"/>
    </font>
    <font>
      <sz val="11"/>
      <name val="游ゴシック"/>
      <family val="3"/>
      <charset val="128"/>
      <scheme val="minor"/>
    </font>
    <font>
      <sz val="11"/>
      <color theme="1"/>
      <name val="游ゴシック"/>
      <family val="3"/>
      <charset val="128"/>
      <scheme val="minor"/>
    </font>
    <font>
      <sz val="11"/>
      <name val="游ゴシック"/>
      <family val="2"/>
      <charset val="128"/>
      <scheme val="minor"/>
    </font>
    <font>
      <b/>
      <sz val="11"/>
      <name val="游ゴシック"/>
      <family val="3"/>
      <charset val="128"/>
      <scheme val="minor"/>
    </font>
  </fonts>
  <fills count="21">
    <fill>
      <patternFill patternType="none"/>
    </fill>
    <fill>
      <patternFill patternType="gray125"/>
    </fill>
    <fill>
      <patternFill patternType="solid">
        <fgColor rgb="FFFFFF00"/>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rgb="FFFFC000"/>
        <bgColor indexed="64"/>
      </patternFill>
    </fill>
    <fill>
      <patternFill patternType="solid">
        <fgColor theme="4" tint="0.39997558519241921"/>
        <bgColor indexed="64"/>
      </patternFill>
    </fill>
    <fill>
      <patternFill patternType="solid">
        <fgColor theme="7" tint="-0.499984740745262"/>
        <bgColor indexed="64"/>
      </patternFill>
    </fill>
    <fill>
      <patternFill patternType="solid">
        <fgColor theme="0" tint="-0.499984740745262"/>
        <bgColor indexed="64"/>
      </patternFill>
    </fill>
    <fill>
      <patternFill patternType="solid">
        <fgColor rgb="FF4472C4"/>
        <bgColor rgb="FF000000"/>
      </patternFill>
    </fill>
    <fill>
      <patternFill patternType="solid">
        <fgColor rgb="FF0070C0"/>
        <bgColor rgb="FF000000"/>
      </patternFill>
    </fill>
    <fill>
      <patternFill patternType="solid">
        <fgColor rgb="FF0070C0"/>
        <bgColor indexed="64"/>
      </patternFill>
    </fill>
    <fill>
      <patternFill patternType="solid">
        <fgColor rgb="FF92D050"/>
        <bgColor indexed="64"/>
      </patternFill>
    </fill>
    <fill>
      <patternFill patternType="solid">
        <fgColor theme="0"/>
        <bgColor indexed="64"/>
      </patternFill>
    </fill>
    <fill>
      <patternFill patternType="solid">
        <fgColor rgb="FF00B0F0"/>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1"/>
        <bgColor indexed="64"/>
      </patternFill>
    </fill>
  </fills>
  <borders count="3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theme="0" tint="-0.249977111117893"/>
      </right>
      <top/>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top/>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style="thin">
        <color theme="0" tint="-0.249977111117893"/>
      </right>
      <top style="medium">
        <color theme="0" tint="-0.249977111117893"/>
      </top>
      <bottom style="thin">
        <color theme="0" tint="-0.249977111117893"/>
      </bottom>
      <diagonal/>
    </border>
    <border>
      <left style="medium">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medium">
        <color theme="0" tint="-0.249977111117893"/>
      </right>
      <top style="thin">
        <color theme="0" tint="-0.249977111117893"/>
      </top>
      <bottom style="medium">
        <color theme="0" tint="-0.249977111117893"/>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right style="thin">
        <color indexed="64"/>
      </right>
      <top/>
      <bottom/>
      <diagonal/>
    </border>
    <border>
      <left/>
      <right style="thin">
        <color theme="2" tint="-9.9978637043366805E-2"/>
      </right>
      <top style="thin">
        <color theme="2" tint="-9.9978637043366805E-2"/>
      </top>
      <bottom style="thin">
        <color theme="2" tint="-9.9978637043366805E-2"/>
      </bottom>
      <diagonal/>
    </border>
    <border>
      <left/>
      <right style="thin">
        <color theme="2" tint="-9.9978637043366805E-2"/>
      </right>
      <top/>
      <bottom style="thin">
        <color theme="2" tint="-9.9978637043366805E-2"/>
      </bottom>
      <diagonal/>
    </border>
    <border>
      <left style="thin">
        <color theme="2" tint="-9.9978637043366805E-2"/>
      </left>
      <right style="thin">
        <color theme="2" tint="-9.9978637043366805E-2"/>
      </right>
      <top/>
      <bottom style="thin">
        <color theme="2" tint="-9.9978637043366805E-2"/>
      </bottom>
      <diagonal/>
    </border>
    <border>
      <left/>
      <right style="thin">
        <color theme="2" tint="-9.9978637043366805E-2"/>
      </right>
      <top/>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theme="2" tint="-9.9978637043366805E-2"/>
      </bottom>
      <diagonal/>
    </border>
    <border>
      <left style="thin">
        <color theme="0" tint="-0.249977111117893"/>
      </left>
      <right/>
      <top style="thin">
        <color theme="0" tint="-0.249977111117893"/>
      </top>
      <bottom/>
      <diagonal/>
    </border>
    <border>
      <left style="thin">
        <color theme="0" tint="-0.249977111117893"/>
      </left>
      <right style="thin">
        <color theme="0" tint="-0.249977111117893"/>
      </right>
      <top style="thin">
        <color theme="2" tint="-9.9978637043366805E-2"/>
      </top>
      <bottom style="thin">
        <color theme="2" tint="-9.9978637043366805E-2"/>
      </bottom>
      <diagonal/>
    </border>
  </borders>
  <cellStyleXfs count="1">
    <xf numFmtId="0" fontId="0" fillId="0" borderId="0">
      <alignment vertical="center"/>
    </xf>
  </cellStyleXfs>
  <cellXfs count="103">
    <xf numFmtId="0" fontId="0" fillId="0" borderId="0" xfId="0">
      <alignment vertical="center"/>
    </xf>
    <xf numFmtId="0" fontId="0" fillId="2" borderId="1" xfId="0" applyFill="1" applyBorder="1">
      <alignment vertical="center"/>
    </xf>
    <xf numFmtId="0" fontId="0" fillId="0" borderId="1" xfId="0" applyBorder="1">
      <alignment vertical="center"/>
    </xf>
    <xf numFmtId="0" fontId="0" fillId="0" borderId="0" xfId="0" applyAlignment="1">
      <alignment vertical="center" wrapText="1"/>
    </xf>
    <xf numFmtId="0" fontId="0" fillId="3" borderId="0" xfId="0" applyFill="1">
      <alignment vertical="center"/>
    </xf>
    <xf numFmtId="0" fontId="0" fillId="5" borderId="12" xfId="0" applyFill="1" applyBorder="1">
      <alignment vertical="center"/>
    </xf>
    <xf numFmtId="0" fontId="0" fillId="13" borderId="13" xfId="0" applyFill="1" applyBorder="1">
      <alignment vertical="center"/>
    </xf>
    <xf numFmtId="0" fontId="6" fillId="13" borderId="13" xfId="0" applyFont="1" applyFill="1" applyBorder="1">
      <alignment vertical="center"/>
    </xf>
    <xf numFmtId="0" fontId="3" fillId="13" borderId="13" xfId="0" applyFont="1" applyFill="1" applyBorder="1">
      <alignment vertical="center"/>
    </xf>
    <xf numFmtId="0" fontId="0" fillId="13" borderId="14" xfId="0" applyFill="1" applyBorder="1">
      <alignment vertical="center"/>
    </xf>
    <xf numFmtId="0" fontId="0" fillId="12" borderId="12" xfId="0" applyFill="1" applyBorder="1">
      <alignment vertical="center"/>
    </xf>
    <xf numFmtId="0" fontId="0" fillId="14" borderId="12" xfId="0" applyFill="1" applyBorder="1">
      <alignment vertical="center"/>
    </xf>
    <xf numFmtId="0" fontId="0" fillId="15" borderId="12" xfId="0" applyFill="1" applyBorder="1">
      <alignment vertical="center"/>
    </xf>
    <xf numFmtId="0" fontId="0" fillId="13" borderId="16" xfId="0" applyFill="1" applyBorder="1">
      <alignment vertical="center"/>
    </xf>
    <xf numFmtId="0" fontId="3" fillId="13" borderId="16" xfId="0" applyFont="1" applyFill="1" applyBorder="1">
      <alignment vertical="center"/>
    </xf>
    <xf numFmtId="0" fontId="4" fillId="11" borderId="11" xfId="0" applyFont="1" applyFill="1" applyBorder="1">
      <alignment vertical="center"/>
    </xf>
    <xf numFmtId="0" fontId="4" fillId="11" borderId="18" xfId="0" applyFont="1" applyFill="1" applyBorder="1">
      <alignment vertical="center"/>
    </xf>
    <xf numFmtId="0" fontId="4" fillId="9" borderId="18" xfId="0" applyFont="1" applyFill="1" applyBorder="1" applyAlignment="1"/>
    <xf numFmtId="0" fontId="2" fillId="10" borderId="18" xfId="0" applyFont="1" applyFill="1" applyBorder="1" applyAlignment="1"/>
    <xf numFmtId="0" fontId="2" fillId="9" borderId="18" xfId="0" applyFont="1" applyFill="1" applyBorder="1" applyAlignment="1"/>
    <xf numFmtId="0" fontId="2" fillId="9" borderId="17" xfId="0" applyFont="1" applyFill="1" applyBorder="1" applyAlignment="1"/>
    <xf numFmtId="0" fontId="0" fillId="13" borderId="19" xfId="0" applyFill="1" applyBorder="1">
      <alignment vertical="center"/>
    </xf>
    <xf numFmtId="0" fontId="6" fillId="13" borderId="19" xfId="0" applyFont="1" applyFill="1" applyBorder="1">
      <alignment vertical="center"/>
    </xf>
    <xf numFmtId="0" fontId="0" fillId="5" borderId="20" xfId="0" applyFill="1" applyBorder="1">
      <alignment vertical="center"/>
    </xf>
    <xf numFmtId="0" fontId="0" fillId="16" borderId="12" xfId="0" applyFill="1" applyBorder="1">
      <alignment vertical="center"/>
    </xf>
    <xf numFmtId="0" fontId="5" fillId="13" borderId="13" xfId="0" applyFont="1" applyFill="1" applyBorder="1">
      <alignment vertical="center"/>
    </xf>
    <xf numFmtId="0" fontId="6" fillId="2" borderId="9" xfId="0" applyFont="1" applyFill="1" applyBorder="1">
      <alignment vertical="center"/>
    </xf>
    <xf numFmtId="0" fontId="6" fillId="2" borderId="10" xfId="0" applyFont="1" applyFill="1" applyBorder="1">
      <alignment vertical="center"/>
    </xf>
    <xf numFmtId="0" fontId="0" fillId="13" borderId="24" xfId="0" applyFill="1" applyBorder="1">
      <alignment vertical="center"/>
    </xf>
    <xf numFmtId="0" fontId="0" fillId="0" borderId="29" xfId="0" applyBorder="1">
      <alignment vertical="center"/>
    </xf>
    <xf numFmtId="0" fontId="6" fillId="13" borderId="27" xfId="0" applyFont="1" applyFill="1" applyBorder="1">
      <alignment vertical="center"/>
    </xf>
    <xf numFmtId="0" fontId="6" fillId="13" borderId="28" xfId="0" applyFont="1" applyFill="1" applyBorder="1">
      <alignment vertical="center"/>
    </xf>
    <xf numFmtId="0" fontId="6" fillId="13" borderId="26" xfId="0" applyFont="1" applyFill="1" applyBorder="1">
      <alignment vertical="center"/>
    </xf>
    <xf numFmtId="0" fontId="0" fillId="2" borderId="12" xfId="0" applyFill="1" applyBorder="1">
      <alignment vertical="center"/>
    </xf>
    <xf numFmtId="0" fontId="0" fillId="17" borderId="12" xfId="0" applyFill="1" applyBorder="1">
      <alignment vertical="center"/>
    </xf>
    <xf numFmtId="0" fontId="0" fillId="13" borderId="21" xfId="0" applyFill="1" applyBorder="1">
      <alignment vertical="center"/>
    </xf>
    <xf numFmtId="0" fontId="0" fillId="13" borderId="22" xfId="0" applyFill="1" applyBorder="1">
      <alignment vertical="center"/>
    </xf>
    <xf numFmtId="0" fontId="6" fillId="13" borderId="22" xfId="0" applyFont="1" applyFill="1" applyBorder="1">
      <alignment vertical="center"/>
    </xf>
    <xf numFmtId="0" fontId="5" fillId="13" borderId="22" xfId="0" applyFont="1" applyFill="1" applyBorder="1">
      <alignment vertical="center"/>
    </xf>
    <xf numFmtId="0" fontId="0" fillId="13" borderId="23" xfId="0" applyFill="1" applyBorder="1">
      <alignment vertical="center"/>
    </xf>
    <xf numFmtId="0" fontId="5" fillId="13" borderId="24" xfId="0" applyFont="1" applyFill="1" applyBorder="1">
      <alignment vertical="center"/>
    </xf>
    <xf numFmtId="0" fontId="5" fillId="0" borderId="1" xfId="0" applyFont="1" applyBorder="1">
      <alignment vertical="center"/>
    </xf>
    <xf numFmtId="0" fontId="5" fillId="0" borderId="30" xfId="0" applyFont="1" applyBorder="1">
      <alignment vertical="center"/>
    </xf>
    <xf numFmtId="0" fontId="5" fillId="0" borderId="2" xfId="0" applyFont="1" applyBorder="1">
      <alignment vertical="center"/>
    </xf>
    <xf numFmtId="0" fontId="5" fillId="18" borderId="2" xfId="0" applyFont="1" applyFill="1" applyBorder="1">
      <alignment vertical="center"/>
    </xf>
    <xf numFmtId="0" fontId="5" fillId="3" borderId="1" xfId="0" applyFont="1" applyFill="1" applyBorder="1">
      <alignment vertical="center"/>
    </xf>
    <xf numFmtId="0" fontId="0" fillId="0" borderId="25" xfId="0" applyBorder="1">
      <alignment vertical="center"/>
    </xf>
    <xf numFmtId="0" fontId="5" fillId="5" borderId="2" xfId="0" applyFont="1" applyFill="1" applyBorder="1">
      <alignment vertical="center"/>
    </xf>
    <xf numFmtId="0" fontId="5" fillId="2" borderId="1" xfId="0" applyFont="1" applyFill="1" applyBorder="1">
      <alignment vertical="center"/>
    </xf>
    <xf numFmtId="0" fontId="0" fillId="0" borderId="31" xfId="0" applyBorder="1">
      <alignment vertical="center"/>
    </xf>
    <xf numFmtId="0" fontId="5" fillId="19" borderId="30" xfId="0" applyFont="1" applyFill="1" applyBorder="1">
      <alignment vertical="center"/>
    </xf>
    <xf numFmtId="0" fontId="6" fillId="0" borderId="0" xfId="0" applyFont="1">
      <alignment vertical="center"/>
    </xf>
    <xf numFmtId="0" fontId="0" fillId="0" borderId="32" xfId="0" applyBorder="1">
      <alignment vertical="center"/>
    </xf>
    <xf numFmtId="0" fontId="6" fillId="8" borderId="1" xfId="0" applyFont="1" applyFill="1" applyBorder="1">
      <alignment vertical="center"/>
    </xf>
    <xf numFmtId="0" fontId="6" fillId="2" borderId="1" xfId="0" applyFont="1" applyFill="1" applyBorder="1">
      <alignment vertical="center"/>
    </xf>
    <xf numFmtId="0" fontId="6" fillId="0" borderId="1" xfId="0" applyFont="1" applyBorder="1">
      <alignment vertical="center"/>
    </xf>
    <xf numFmtId="0" fontId="6" fillId="5" borderId="1" xfId="0" applyFont="1" applyFill="1" applyBorder="1">
      <alignment vertical="center"/>
    </xf>
    <xf numFmtId="0" fontId="6" fillId="6" borderId="1" xfId="0" applyFont="1" applyFill="1" applyBorder="1">
      <alignment vertical="center"/>
    </xf>
    <xf numFmtId="0" fontId="6" fillId="7" borderId="1" xfId="0" applyFont="1" applyFill="1" applyBorder="1">
      <alignment vertical="center"/>
    </xf>
    <xf numFmtId="0" fontId="6" fillId="0" borderId="8" xfId="0" applyFont="1" applyBorder="1">
      <alignment vertical="center"/>
    </xf>
    <xf numFmtId="0" fontId="6" fillId="0" borderId="9" xfId="0" applyFont="1" applyBorder="1">
      <alignment vertical="center"/>
    </xf>
    <xf numFmtId="0" fontId="6" fillId="6" borderId="3" xfId="0" applyFont="1" applyFill="1" applyBorder="1">
      <alignment vertical="center"/>
    </xf>
    <xf numFmtId="0" fontId="6" fillId="6" borderId="4" xfId="0" applyFont="1" applyFill="1" applyBorder="1">
      <alignment vertical="center"/>
    </xf>
    <xf numFmtId="0" fontId="6" fillId="7" borderId="4" xfId="0" applyFont="1" applyFill="1" applyBorder="1">
      <alignment vertical="center"/>
    </xf>
    <xf numFmtId="0" fontId="6" fillId="7" borderId="3" xfId="0" applyFont="1" applyFill="1" applyBorder="1">
      <alignment vertical="center"/>
    </xf>
    <xf numFmtId="0" fontId="6" fillId="0" borderId="4" xfId="0" applyFont="1" applyBorder="1">
      <alignment vertical="center"/>
    </xf>
    <xf numFmtId="0" fontId="6" fillId="0" borderId="5" xfId="0" applyFont="1" applyBorder="1">
      <alignment vertical="center"/>
    </xf>
    <xf numFmtId="0" fontId="6" fillId="0" borderId="6" xfId="0" applyFont="1" applyBorder="1">
      <alignment vertical="center"/>
    </xf>
    <xf numFmtId="0" fontId="6" fillId="0" borderId="7" xfId="0" applyFont="1" applyBorder="1">
      <alignment vertical="center"/>
    </xf>
    <xf numFmtId="0" fontId="6" fillId="2" borderId="3" xfId="0" applyFont="1" applyFill="1" applyBorder="1">
      <alignment vertical="center"/>
    </xf>
    <xf numFmtId="0" fontId="6" fillId="2" borderId="4" xfId="0" applyFont="1" applyFill="1" applyBorder="1">
      <alignment vertical="center"/>
    </xf>
    <xf numFmtId="0" fontId="6" fillId="5" borderId="4" xfId="0" applyFont="1" applyFill="1" applyBorder="1">
      <alignment vertical="center"/>
    </xf>
    <xf numFmtId="0" fontId="6" fillId="5" borderId="3" xfId="0" applyFont="1" applyFill="1" applyBorder="1">
      <alignment vertical="center"/>
    </xf>
    <xf numFmtId="0" fontId="6" fillId="5" borderId="5" xfId="0" applyFont="1" applyFill="1" applyBorder="1">
      <alignment vertical="center"/>
    </xf>
    <xf numFmtId="0" fontId="6" fillId="5" borderId="6" xfId="0" applyFont="1" applyFill="1" applyBorder="1">
      <alignment vertical="center"/>
    </xf>
    <xf numFmtId="0" fontId="6" fillId="4" borderId="8" xfId="0" applyFont="1" applyFill="1" applyBorder="1">
      <alignment vertical="center"/>
    </xf>
    <xf numFmtId="0" fontId="6" fillId="4" borderId="9" xfId="0" applyFont="1" applyFill="1" applyBorder="1">
      <alignment vertical="center"/>
    </xf>
    <xf numFmtId="0" fontId="6" fillId="4" borderId="10" xfId="0" applyFont="1" applyFill="1" applyBorder="1">
      <alignment vertical="center"/>
    </xf>
    <xf numFmtId="0" fontId="6" fillId="0" borderId="3" xfId="0" applyFont="1" applyBorder="1">
      <alignment vertical="center"/>
    </xf>
    <xf numFmtId="0" fontId="6" fillId="8" borderId="4" xfId="0" applyFont="1" applyFill="1" applyBorder="1">
      <alignment vertical="center"/>
    </xf>
    <xf numFmtId="0" fontId="6" fillId="8" borderId="3" xfId="0" applyFont="1" applyFill="1" applyBorder="1">
      <alignment vertical="center"/>
    </xf>
    <xf numFmtId="0" fontId="6" fillId="2" borderId="5" xfId="0" applyFont="1" applyFill="1" applyBorder="1">
      <alignment vertical="center"/>
    </xf>
    <xf numFmtId="0" fontId="6" fillId="2" borderId="6" xfId="0" applyFont="1" applyFill="1" applyBorder="1">
      <alignment vertical="center"/>
    </xf>
    <xf numFmtId="0" fontId="8" fillId="2" borderId="1" xfId="0" applyFont="1" applyFill="1" applyBorder="1">
      <alignment vertical="center"/>
    </xf>
    <xf numFmtId="56" fontId="0" fillId="0" borderId="1" xfId="0" applyNumberFormat="1" applyBorder="1">
      <alignment vertical="center"/>
    </xf>
    <xf numFmtId="0" fontId="8" fillId="5" borderId="1" xfId="0" applyFont="1" applyFill="1" applyBorder="1">
      <alignment vertical="center"/>
    </xf>
    <xf numFmtId="0" fontId="8" fillId="6" borderId="1" xfId="0" applyFont="1" applyFill="1" applyBorder="1">
      <alignment vertical="center"/>
    </xf>
    <xf numFmtId="0" fontId="4" fillId="7" borderId="1" xfId="0" applyFont="1" applyFill="1" applyBorder="1">
      <alignment vertical="center"/>
    </xf>
    <xf numFmtId="14" fontId="0" fillId="0" borderId="1" xfId="0" applyNumberFormat="1" applyBorder="1">
      <alignment vertical="center"/>
    </xf>
    <xf numFmtId="176" fontId="0" fillId="0" borderId="1" xfId="0" applyNumberFormat="1" applyBorder="1" applyAlignment="1">
      <alignment horizontal="right" vertical="center"/>
    </xf>
    <xf numFmtId="0" fontId="7" fillId="0" borderId="0" xfId="0" applyFont="1">
      <alignment vertical="center"/>
    </xf>
    <xf numFmtId="0" fontId="5" fillId="0" borderId="29" xfId="0" applyFont="1" applyBorder="1">
      <alignment vertical="center"/>
    </xf>
    <xf numFmtId="0" fontId="0" fillId="17" borderId="15" xfId="0" applyFill="1" applyBorder="1">
      <alignment vertical="center"/>
    </xf>
    <xf numFmtId="0" fontId="0" fillId="13" borderId="33" xfId="0" applyFill="1" applyBorder="1">
      <alignment vertical="center"/>
    </xf>
    <xf numFmtId="0" fontId="5" fillId="13" borderId="16" xfId="0" applyFont="1" applyFill="1" applyBorder="1">
      <alignment vertical="center"/>
    </xf>
    <xf numFmtId="0" fontId="5" fillId="13" borderId="34" xfId="0" applyFont="1" applyFill="1" applyBorder="1">
      <alignment vertical="center"/>
    </xf>
    <xf numFmtId="0" fontId="5" fillId="0" borderId="0" xfId="0" applyFont="1">
      <alignment vertical="center"/>
    </xf>
    <xf numFmtId="0" fontId="6" fillId="13" borderId="16" xfId="0" applyFont="1" applyFill="1" applyBorder="1">
      <alignment vertical="center"/>
    </xf>
    <xf numFmtId="0" fontId="0" fillId="20" borderId="13" xfId="0" applyFill="1" applyBorder="1">
      <alignment vertical="center"/>
    </xf>
    <xf numFmtId="0" fontId="3" fillId="20" borderId="13" xfId="0" applyFont="1" applyFill="1" applyBorder="1">
      <alignment vertical="center"/>
    </xf>
    <xf numFmtId="0" fontId="3" fillId="20" borderId="16" xfId="0" applyFont="1" applyFill="1" applyBorder="1">
      <alignment vertical="center"/>
    </xf>
    <xf numFmtId="0" fontId="0" fillId="20" borderId="14" xfId="0" applyFill="1" applyBorder="1">
      <alignment vertical="center"/>
    </xf>
    <xf numFmtId="0" fontId="6" fillId="5" borderId="10" xfId="0" applyFont="1" applyFill="1" applyBorder="1">
      <alignment vertical="center"/>
    </xf>
  </cellXfs>
  <cellStyles count="1">
    <cellStyle name="標準" xfId="0" builtinId="0"/>
  </cellStyles>
  <dxfs count="13">
    <dxf>
      <border diagonalUp="0" diagonalDown="0">
        <left style="thin">
          <color theme="0" tint="-0.249977111117893"/>
        </left>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theme="0"/>
        <name val="游ゴシック"/>
        <family val="3"/>
        <charset val="128"/>
        <scheme val="minor"/>
      </font>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theme="0"/>
        <name val="游ゴシック"/>
        <family val="3"/>
        <charset val="128"/>
        <scheme val="minor"/>
      </font>
      <fill>
        <patternFill patternType="solid">
          <fgColor indexed="64"/>
          <bgColor theme="0"/>
        </patternFill>
      </fill>
      <border diagonalUp="0" diagonalDown="0">
        <left style="thin">
          <color theme="0" tint="-0.249977111117893"/>
        </left>
        <right style="thin">
          <color theme="0" tint="-0.249977111117893"/>
        </right>
        <top style="thin">
          <color theme="0" tint="-0.249977111117893"/>
        </top>
        <bottom/>
        <vertical/>
        <horizontal/>
      </border>
    </dxf>
    <dxf>
      <font>
        <b val="0"/>
        <i val="0"/>
        <strike val="0"/>
        <condense val="0"/>
        <extend val="0"/>
        <outline val="0"/>
        <shadow val="0"/>
        <u val="none"/>
        <vertAlign val="baseline"/>
        <sz val="11"/>
        <color theme="0"/>
        <name val="游ゴシック"/>
        <family val="3"/>
        <charset val="128"/>
        <scheme val="minor"/>
      </font>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ill>
        <patternFill patternType="solid">
          <fgColor indexed="64"/>
          <bgColor theme="0"/>
        </patternFill>
      </fill>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border diagonalUp="0" diagonalDown="0">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color auto="1"/>
      </font>
    </dxf>
    <dxf>
      <border>
        <top style="thin">
          <color theme="0" tint="-0.249977111117893"/>
        </top>
      </border>
    </dxf>
    <dxf>
      <border diagonalUp="0" diagonalDown="0">
        <left style="medium">
          <color theme="0" tint="-0.249977111117893"/>
        </left>
        <right style="medium">
          <color theme="0" tint="-0.249977111117893"/>
        </right>
        <top style="medium">
          <color theme="0" tint="-0.249977111117893"/>
        </top>
        <bottom style="medium">
          <color theme="0" tint="-0.249977111117893"/>
        </bottom>
      </border>
    </dxf>
    <dxf>
      <font>
        <b val="0"/>
        <i val="0"/>
        <strike val="0"/>
        <condense val="0"/>
        <extend val="0"/>
        <outline val="0"/>
        <shadow val="0"/>
        <u val="none"/>
        <vertAlign val="baseline"/>
        <sz val="11"/>
        <color theme="0"/>
        <name val="游ゴシック"/>
        <family val="3"/>
        <charset val="128"/>
        <scheme val="minor"/>
      </font>
    </dxf>
    <dxf>
      <border>
        <bottom style="thin">
          <color theme="0" tint="-0.249977111117893"/>
        </bottom>
      </border>
    </dxf>
    <dxf>
      <border diagonalUp="0" diagonalDown="0">
        <left style="thin">
          <color theme="0" tint="-0.249977111117893"/>
        </left>
        <right style="thin">
          <color theme="0" tint="-0.249977111117893"/>
        </right>
        <top/>
        <bottom/>
        <vertical style="thin">
          <color theme="0" tint="-0.249977111117893"/>
        </vertical>
        <horizontal style="thin">
          <color theme="0" tint="-0.249977111117893"/>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35F7255-1AB1-4CF6-B090-10E22EB9181F}" name="テーブル1" displayName="テーブル1" ref="B3:H56" totalsRowShown="0" headerRowDxfId="12" dataDxfId="10" headerRowBorderDxfId="11" tableBorderDxfId="9" totalsRowBorderDxfId="8">
  <autoFilter ref="B3:H56" xr:uid="{935F7255-1AB1-4CF6-B090-10E22EB9181F}"/>
  <sortState xmlns:xlrd2="http://schemas.microsoft.com/office/spreadsheetml/2017/richdata2" ref="B4:H38">
    <sortCondition sortBy="fontColor" ref="F3:F38" dxfId="7"/>
  </sortState>
  <tableColumns count="7">
    <tableColumn id="1" xr3:uid="{DBD721D9-31E7-4852-8751-88A020768938}" name="役割" dataDxfId="6"/>
    <tableColumn id="8" xr3:uid="{3A719BC1-D049-45A6-828B-0FEEDD23AE1D}" name="内容" dataDxfId="5"/>
    <tableColumn id="3" xr3:uid="{B983F2FB-E4C1-4AAB-8082-88DC198AD31B}" name="優先度" dataDxfId="4"/>
    <tableColumn id="4" xr3:uid="{5D1C8FFC-8CC7-42BC-9650-F477F1294E92}" name="バージョン" dataDxfId="3"/>
    <tableColumn id="2" xr3:uid="{9F12BE3B-0DD1-41C1-8C2C-AF6C8F247D3C}" name="想定コスト" dataDxfId="2"/>
    <tableColumn id="6" xr3:uid="{13FB0F58-83C3-4C72-867B-ED29D88D66FA}" name="実コスト" dataDxfId="1"/>
    <tableColumn id="7" xr3:uid="{B9DAC499-4733-4C1B-85B6-D412A0C2495C}" name="ステータス" dataDxfId="0"/>
  </tableColumns>
  <tableStyleInfo name="TableStyleLight1"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C1A2E-6204-42EF-8C18-D4436D1ADF2F}">
  <dimension ref="A2:M57"/>
  <sheetViews>
    <sheetView topLeftCell="A33" workbookViewId="0">
      <selection activeCell="G35" sqref="G35"/>
    </sheetView>
  </sheetViews>
  <sheetFormatPr defaultRowHeight="18.75"/>
  <cols>
    <col min="2" max="2" width="11" bestFit="1" customWidth="1"/>
    <col min="3" max="3" width="35.75" bestFit="1" customWidth="1"/>
    <col min="4" max="4" width="8.375" customWidth="1"/>
    <col min="5" max="5" width="16.625" bestFit="1" customWidth="1"/>
    <col min="6" max="6" width="16.625" customWidth="1"/>
    <col min="7" max="7" width="11.25" bestFit="1" customWidth="1"/>
    <col min="8" max="8" width="12.125" customWidth="1"/>
    <col min="9" max="10" width="9.25" bestFit="1" customWidth="1"/>
    <col min="11" max="11" width="11" bestFit="1" customWidth="1"/>
  </cols>
  <sheetData>
    <row r="2" spans="2:13">
      <c r="B2" t="s">
        <v>64</v>
      </c>
      <c r="L2" s="49"/>
    </row>
    <row r="3" spans="2:13">
      <c r="B3" s="15" t="s">
        <v>34</v>
      </c>
      <c r="C3" s="16" t="s">
        <v>33</v>
      </c>
      <c r="D3" s="17" t="s">
        <v>29</v>
      </c>
      <c r="E3" s="18" t="s">
        <v>30</v>
      </c>
      <c r="F3" s="18" t="s">
        <v>63</v>
      </c>
      <c r="G3" s="19" t="s">
        <v>31</v>
      </c>
      <c r="H3" s="20" t="s">
        <v>32</v>
      </c>
      <c r="J3" s="41" t="s">
        <v>69</v>
      </c>
      <c r="K3" s="41" t="s">
        <v>68</v>
      </c>
      <c r="L3" s="42" t="s">
        <v>76</v>
      </c>
    </row>
    <row r="4" spans="2:13" ht="19.5" thickBot="1">
      <c r="B4" s="35" t="s">
        <v>61</v>
      </c>
      <c r="C4" s="36" t="s">
        <v>61</v>
      </c>
      <c r="D4" s="36" t="s">
        <v>41</v>
      </c>
      <c r="E4" s="37" t="s">
        <v>25</v>
      </c>
      <c r="F4" s="38">
        <v>15</v>
      </c>
      <c r="G4" s="38">
        <v>20</v>
      </c>
      <c r="H4" s="39" t="s">
        <v>77</v>
      </c>
      <c r="J4" s="48" t="s">
        <v>70</v>
      </c>
      <c r="K4" s="41">
        <f>SUM(テーブル1[想定コスト])</f>
        <v>106</v>
      </c>
      <c r="L4" s="41">
        <f>SUMIF(テーブル1[ステータス],"未完了",テーブル1[想定コスト])</f>
        <v>26</v>
      </c>
    </row>
    <row r="5" spans="2:13" ht="19.5" thickBot="1">
      <c r="B5" s="23" t="s">
        <v>35</v>
      </c>
      <c r="C5" s="21" t="s">
        <v>44</v>
      </c>
      <c r="D5" s="21" t="s">
        <v>41</v>
      </c>
      <c r="E5" s="22" t="s">
        <v>25</v>
      </c>
      <c r="F5" s="22">
        <v>5</v>
      </c>
      <c r="G5" s="25">
        <v>2</v>
      </c>
      <c r="H5" s="39" t="s">
        <v>77</v>
      </c>
      <c r="J5" s="47" t="s">
        <v>25</v>
      </c>
      <c r="K5" s="42">
        <f>SUMIF(テーブル1[バージョン],J5,テーブル1[想定コスト])</f>
        <v>66</v>
      </c>
      <c r="L5" s="42">
        <f>SUMIFS(テーブル1[想定コスト],テーブル1[バージョン],J5,テーブル1[ステータス],"未完了")</f>
        <v>0</v>
      </c>
    </row>
    <row r="6" spans="2:13" ht="19.5" thickBot="1">
      <c r="B6" s="5" t="s">
        <v>35</v>
      </c>
      <c r="C6" s="6" t="s">
        <v>45</v>
      </c>
      <c r="D6" s="6" t="s">
        <v>41</v>
      </c>
      <c r="E6" s="7" t="s">
        <v>25</v>
      </c>
      <c r="F6" s="7">
        <v>1</v>
      </c>
      <c r="G6" s="7">
        <v>1</v>
      </c>
      <c r="H6" s="39" t="s">
        <v>77</v>
      </c>
      <c r="J6" s="45" t="s">
        <v>26</v>
      </c>
      <c r="K6" s="43">
        <f>SUMIF(テーブル1[バージョン],J6,テーブル1[想定コスト])</f>
        <v>35</v>
      </c>
      <c r="L6" s="43">
        <f>SUMIFS(テーブル1[想定コスト],テーブル1[バージョン],J6,テーブル1[ステータス],"未完了")</f>
        <v>21</v>
      </c>
      <c r="M6" s="52"/>
    </row>
    <row r="7" spans="2:13">
      <c r="B7" s="5" t="s">
        <v>35</v>
      </c>
      <c r="C7" s="6" t="s">
        <v>97</v>
      </c>
      <c r="D7" s="6" t="s">
        <v>41</v>
      </c>
      <c r="E7" s="7" t="s">
        <v>25</v>
      </c>
      <c r="F7" s="25">
        <v>5</v>
      </c>
      <c r="G7" s="25">
        <v>8</v>
      </c>
      <c r="H7" s="9" t="s">
        <v>77</v>
      </c>
      <c r="J7" s="44" t="s">
        <v>27</v>
      </c>
      <c r="K7" s="42">
        <f>SUMIF(テーブル1[バージョン],J7,テーブル1[想定コスト])</f>
        <v>5</v>
      </c>
      <c r="L7" s="43">
        <f>SUMIFS(テーブル1[想定コスト],テーブル1[バージョン],J7,テーブル1[ステータス],"完了")</f>
        <v>0</v>
      </c>
    </row>
    <row r="8" spans="2:13">
      <c r="B8" s="5" t="s">
        <v>35</v>
      </c>
      <c r="C8" s="6" t="s">
        <v>96</v>
      </c>
      <c r="D8" s="6" t="s">
        <v>41</v>
      </c>
      <c r="E8" s="7" t="s">
        <v>25</v>
      </c>
      <c r="F8" s="25">
        <v>3</v>
      </c>
      <c r="G8" s="25">
        <v>3</v>
      </c>
      <c r="H8" s="9" t="s">
        <v>77</v>
      </c>
      <c r="I8" s="46"/>
      <c r="J8" s="50" t="s">
        <v>28</v>
      </c>
      <c r="K8" s="41">
        <f>SUMIF(テーブル1[バージョン],J8,テーブル1[想定コスト])</f>
        <v>0</v>
      </c>
      <c r="L8" s="42">
        <f>SUMIFS(テーブル1[想定コスト],テーブル1[バージョン],J8,テーブル1[ステータス],"完了")</f>
        <v>0</v>
      </c>
    </row>
    <row r="9" spans="2:13">
      <c r="B9" s="5" t="s">
        <v>35</v>
      </c>
      <c r="C9" s="6" t="s">
        <v>99</v>
      </c>
      <c r="D9" s="6" t="s">
        <v>41</v>
      </c>
      <c r="E9" s="7" t="s">
        <v>25</v>
      </c>
      <c r="F9" s="25">
        <v>3</v>
      </c>
      <c r="G9" s="25">
        <v>3</v>
      </c>
      <c r="H9" s="9" t="s">
        <v>77</v>
      </c>
    </row>
    <row r="10" spans="2:13" ht="19.5" thickBot="1">
      <c r="B10" s="5" t="s">
        <v>35</v>
      </c>
      <c r="C10" s="6" t="s">
        <v>95</v>
      </c>
      <c r="D10" s="6" t="s">
        <v>41</v>
      </c>
      <c r="E10" s="25" t="s">
        <v>25</v>
      </c>
      <c r="F10" s="94">
        <v>3</v>
      </c>
      <c r="G10" s="25">
        <v>3</v>
      </c>
      <c r="H10" s="39" t="s">
        <v>77</v>
      </c>
    </row>
    <row r="11" spans="2:13">
      <c r="B11" s="10" t="s">
        <v>0</v>
      </c>
      <c r="C11" s="6" t="s">
        <v>46</v>
      </c>
      <c r="D11" s="6" t="s">
        <v>41</v>
      </c>
      <c r="E11" s="25" t="s">
        <v>25</v>
      </c>
      <c r="F11" s="25">
        <v>1</v>
      </c>
      <c r="G11" s="25">
        <v>1</v>
      </c>
      <c r="H11" s="9" t="s">
        <v>77</v>
      </c>
      <c r="J11" s="29"/>
      <c r="K11" s="90"/>
    </row>
    <row r="12" spans="2:13">
      <c r="B12" s="10" t="s">
        <v>0</v>
      </c>
      <c r="C12" s="6" t="s">
        <v>51</v>
      </c>
      <c r="D12" s="6" t="s">
        <v>41</v>
      </c>
      <c r="E12" s="25" t="s">
        <v>25</v>
      </c>
      <c r="F12" s="25">
        <v>1</v>
      </c>
      <c r="G12" s="25">
        <v>1</v>
      </c>
      <c r="H12" s="9" t="s">
        <v>77</v>
      </c>
    </row>
    <row r="13" spans="2:13">
      <c r="B13" s="10" t="s">
        <v>0</v>
      </c>
      <c r="C13" s="6" t="s">
        <v>47</v>
      </c>
      <c r="D13" s="6" t="s">
        <v>41</v>
      </c>
      <c r="E13" s="25" t="s">
        <v>25</v>
      </c>
      <c r="F13" s="25">
        <v>1</v>
      </c>
      <c r="G13" s="25">
        <v>1</v>
      </c>
      <c r="H13" s="9" t="s">
        <v>77</v>
      </c>
    </row>
    <row r="14" spans="2:13">
      <c r="B14" s="10" t="s">
        <v>0</v>
      </c>
      <c r="C14" s="6" t="s">
        <v>49</v>
      </c>
      <c r="D14" s="6" t="s">
        <v>42</v>
      </c>
      <c r="E14" s="25" t="s">
        <v>25</v>
      </c>
      <c r="F14" s="25">
        <v>1</v>
      </c>
      <c r="G14" s="25">
        <v>1</v>
      </c>
      <c r="H14" s="9" t="s">
        <v>77</v>
      </c>
    </row>
    <row r="15" spans="2:13">
      <c r="B15" s="10" t="s">
        <v>0</v>
      </c>
      <c r="C15" s="6" t="s">
        <v>48</v>
      </c>
      <c r="D15" s="6" t="s">
        <v>41</v>
      </c>
      <c r="E15" s="25" t="s">
        <v>25</v>
      </c>
      <c r="F15" s="25">
        <v>1</v>
      </c>
      <c r="G15" s="25">
        <v>1</v>
      </c>
      <c r="H15" s="9" t="s">
        <v>77</v>
      </c>
    </row>
    <row r="16" spans="2:13">
      <c r="B16" s="10" t="s">
        <v>0</v>
      </c>
      <c r="C16" s="6" t="s">
        <v>52</v>
      </c>
      <c r="D16" s="6" t="s">
        <v>41</v>
      </c>
      <c r="E16" s="25" t="s">
        <v>25</v>
      </c>
      <c r="F16" s="25">
        <v>1</v>
      </c>
      <c r="G16" s="25">
        <v>0.5</v>
      </c>
      <c r="H16" s="9" t="s">
        <v>77</v>
      </c>
    </row>
    <row r="17" spans="2:12">
      <c r="B17" s="10" t="s">
        <v>0</v>
      </c>
      <c r="C17" s="6" t="s">
        <v>50</v>
      </c>
      <c r="D17" s="6" t="s">
        <v>41</v>
      </c>
      <c r="E17" s="25" t="s">
        <v>25</v>
      </c>
      <c r="F17" s="25">
        <v>1</v>
      </c>
      <c r="G17" s="25">
        <v>0.5</v>
      </c>
      <c r="H17" s="9" t="s">
        <v>77</v>
      </c>
    </row>
    <row r="18" spans="2:12">
      <c r="B18" s="10" t="s">
        <v>0</v>
      </c>
      <c r="C18" s="6" t="s">
        <v>53</v>
      </c>
      <c r="D18" s="6" t="s">
        <v>42</v>
      </c>
      <c r="E18" s="25" t="s">
        <v>26</v>
      </c>
      <c r="F18" s="25">
        <v>3</v>
      </c>
      <c r="G18" s="25">
        <v>3</v>
      </c>
      <c r="H18" s="9" t="s">
        <v>77</v>
      </c>
    </row>
    <row r="19" spans="2:12">
      <c r="B19" s="11" t="s">
        <v>54</v>
      </c>
      <c r="C19" s="6" t="s">
        <v>46</v>
      </c>
      <c r="D19" s="6" t="s">
        <v>41</v>
      </c>
      <c r="E19" s="25" t="s">
        <v>25</v>
      </c>
      <c r="F19" s="25">
        <v>1</v>
      </c>
      <c r="G19" s="25">
        <v>1</v>
      </c>
      <c r="H19" s="9" t="s">
        <v>77</v>
      </c>
    </row>
    <row r="20" spans="2:12">
      <c r="B20" s="11" t="s">
        <v>54</v>
      </c>
      <c r="C20" s="6" t="s">
        <v>47</v>
      </c>
      <c r="D20" s="6" t="s">
        <v>41</v>
      </c>
      <c r="E20" s="25" t="s">
        <v>25</v>
      </c>
      <c r="F20" s="25">
        <v>1</v>
      </c>
      <c r="G20" s="25">
        <v>1</v>
      </c>
      <c r="H20" s="9" t="s">
        <v>77</v>
      </c>
    </row>
    <row r="21" spans="2:12">
      <c r="B21" s="11" t="s">
        <v>54</v>
      </c>
      <c r="C21" s="6" t="s">
        <v>50</v>
      </c>
      <c r="D21" s="6" t="s">
        <v>41</v>
      </c>
      <c r="E21" s="25" t="s">
        <v>26</v>
      </c>
      <c r="F21" s="25">
        <v>1</v>
      </c>
      <c r="G21" s="25">
        <v>1</v>
      </c>
      <c r="H21" s="9" t="s">
        <v>77</v>
      </c>
    </row>
    <row r="22" spans="2:12">
      <c r="B22" s="11" t="s">
        <v>55</v>
      </c>
      <c r="C22" s="6" t="s">
        <v>46</v>
      </c>
      <c r="D22" s="6" t="s">
        <v>41</v>
      </c>
      <c r="E22" s="25" t="s">
        <v>25</v>
      </c>
      <c r="F22" s="25">
        <v>1</v>
      </c>
      <c r="G22" s="25">
        <v>1</v>
      </c>
      <c r="H22" s="9" t="s">
        <v>77</v>
      </c>
    </row>
    <row r="23" spans="2:12">
      <c r="B23" s="11" t="s">
        <v>55</v>
      </c>
      <c r="C23" s="6" t="s">
        <v>47</v>
      </c>
      <c r="D23" s="6" t="s">
        <v>41</v>
      </c>
      <c r="E23" s="25" t="s">
        <v>25</v>
      </c>
      <c r="F23" s="25">
        <v>1</v>
      </c>
      <c r="G23" s="25">
        <v>1</v>
      </c>
      <c r="H23" s="9" t="s">
        <v>77</v>
      </c>
    </row>
    <row r="24" spans="2:12">
      <c r="B24" s="11" t="s">
        <v>55</v>
      </c>
      <c r="C24" s="6" t="s">
        <v>50</v>
      </c>
      <c r="D24" s="6" t="s">
        <v>41</v>
      </c>
      <c r="E24" s="25" t="s">
        <v>26</v>
      </c>
      <c r="F24" s="25">
        <v>1</v>
      </c>
      <c r="G24" s="25">
        <v>1</v>
      </c>
      <c r="H24" s="9" t="s">
        <v>77</v>
      </c>
    </row>
    <row r="25" spans="2:12">
      <c r="B25" s="11" t="s">
        <v>65</v>
      </c>
      <c r="C25" s="6" t="s">
        <v>46</v>
      </c>
      <c r="D25" s="6" t="s">
        <v>41</v>
      </c>
      <c r="E25" s="25" t="s">
        <v>26</v>
      </c>
      <c r="F25" s="25">
        <v>1</v>
      </c>
      <c r="G25" s="25"/>
      <c r="H25" s="9" t="s">
        <v>78</v>
      </c>
    </row>
    <row r="26" spans="2:12">
      <c r="B26" s="11" t="s">
        <v>65</v>
      </c>
      <c r="C26" s="6" t="s">
        <v>47</v>
      </c>
      <c r="D26" s="6" t="s">
        <v>41</v>
      </c>
      <c r="E26" s="25" t="s">
        <v>26</v>
      </c>
      <c r="F26" s="25">
        <v>1</v>
      </c>
      <c r="G26" s="25"/>
      <c r="H26" s="9" t="s">
        <v>78</v>
      </c>
    </row>
    <row r="27" spans="2:12">
      <c r="B27" s="11" t="s">
        <v>65</v>
      </c>
      <c r="C27" s="6" t="s">
        <v>50</v>
      </c>
      <c r="D27" s="6" t="s">
        <v>41</v>
      </c>
      <c r="E27" s="25" t="s">
        <v>26</v>
      </c>
      <c r="F27" s="25">
        <v>1</v>
      </c>
      <c r="G27" s="25"/>
      <c r="H27" s="9" t="s">
        <v>78</v>
      </c>
    </row>
    <row r="28" spans="2:12">
      <c r="B28" s="11" t="s">
        <v>62</v>
      </c>
      <c r="C28" s="6" t="s">
        <v>98</v>
      </c>
      <c r="D28" s="6" t="s">
        <v>41</v>
      </c>
      <c r="E28" s="25" t="s">
        <v>25</v>
      </c>
      <c r="F28" s="94">
        <v>8</v>
      </c>
      <c r="G28" s="25">
        <v>10</v>
      </c>
      <c r="H28" s="9" t="s">
        <v>77</v>
      </c>
    </row>
    <row r="29" spans="2:12">
      <c r="B29" s="11" t="s">
        <v>62</v>
      </c>
      <c r="C29" s="6" t="s">
        <v>75</v>
      </c>
      <c r="D29" s="6" t="s">
        <v>41</v>
      </c>
      <c r="E29" s="25" t="s">
        <v>25</v>
      </c>
      <c r="F29" s="25">
        <v>5</v>
      </c>
      <c r="G29" s="25">
        <v>8</v>
      </c>
      <c r="H29" s="9" t="s">
        <v>77</v>
      </c>
    </row>
    <row r="30" spans="2:12">
      <c r="B30" s="12" t="s">
        <v>36</v>
      </c>
      <c r="C30" s="6" t="s">
        <v>94</v>
      </c>
      <c r="D30" s="6" t="s">
        <v>41</v>
      </c>
      <c r="E30" s="25" t="s">
        <v>25</v>
      </c>
      <c r="F30" s="25">
        <v>2</v>
      </c>
      <c r="G30" s="25">
        <v>1</v>
      </c>
      <c r="H30" s="9" t="s">
        <v>77</v>
      </c>
      <c r="L30" s="28"/>
    </row>
    <row r="31" spans="2:12">
      <c r="B31" s="12" t="s">
        <v>36</v>
      </c>
      <c r="C31" s="6" t="s">
        <v>56</v>
      </c>
      <c r="D31" s="6" t="s">
        <v>41</v>
      </c>
      <c r="E31" s="25" t="s">
        <v>26</v>
      </c>
      <c r="F31" s="25">
        <v>5</v>
      </c>
      <c r="G31" s="8"/>
      <c r="H31" s="9" t="s">
        <v>78</v>
      </c>
    </row>
    <row r="32" spans="2:12">
      <c r="B32" s="24" t="s">
        <v>40</v>
      </c>
      <c r="C32" s="6" t="s">
        <v>57</v>
      </c>
      <c r="D32" s="6" t="s">
        <v>42</v>
      </c>
      <c r="E32" s="25" t="s">
        <v>25</v>
      </c>
      <c r="F32" s="25">
        <v>1</v>
      </c>
      <c r="G32" s="25">
        <v>1</v>
      </c>
      <c r="H32" s="9" t="s">
        <v>77</v>
      </c>
    </row>
    <row r="33" spans="1:8">
      <c r="B33" s="24" t="s">
        <v>40</v>
      </c>
      <c r="C33" s="6" t="s">
        <v>58</v>
      </c>
      <c r="D33" s="6" t="s">
        <v>42</v>
      </c>
      <c r="E33" s="25" t="s">
        <v>25</v>
      </c>
      <c r="F33" s="25">
        <v>1</v>
      </c>
      <c r="G33" s="25">
        <v>1</v>
      </c>
      <c r="H33" s="9" t="s">
        <v>77</v>
      </c>
    </row>
    <row r="34" spans="1:8">
      <c r="B34" s="24" t="s">
        <v>40</v>
      </c>
      <c r="C34" s="6" t="s">
        <v>59</v>
      </c>
      <c r="D34" s="6" t="s">
        <v>42</v>
      </c>
      <c r="E34" s="25" t="s">
        <v>25</v>
      </c>
      <c r="F34" s="25">
        <v>1</v>
      </c>
      <c r="G34" s="25">
        <v>1</v>
      </c>
      <c r="H34" s="9" t="s">
        <v>77</v>
      </c>
    </row>
    <row r="35" spans="1:8">
      <c r="B35" s="24" t="s">
        <v>40</v>
      </c>
      <c r="C35" s="6" t="s">
        <v>60</v>
      </c>
      <c r="D35" s="6" t="s">
        <v>43</v>
      </c>
      <c r="E35" s="25" t="s">
        <v>26</v>
      </c>
      <c r="F35" s="25">
        <v>1</v>
      </c>
      <c r="G35" s="8"/>
      <c r="H35" s="9" t="s">
        <v>78</v>
      </c>
    </row>
    <row r="36" spans="1:8">
      <c r="B36" s="10" t="s">
        <v>66</v>
      </c>
      <c r="C36" s="6" t="s">
        <v>46</v>
      </c>
      <c r="D36" s="6" t="s">
        <v>41</v>
      </c>
      <c r="E36" s="25" t="s">
        <v>25</v>
      </c>
      <c r="F36" s="25">
        <v>1</v>
      </c>
      <c r="G36" s="25">
        <v>1</v>
      </c>
      <c r="H36" s="9" t="s">
        <v>77</v>
      </c>
    </row>
    <row r="37" spans="1:8">
      <c r="B37" s="10" t="s">
        <v>66</v>
      </c>
      <c r="C37" s="6" t="s">
        <v>67</v>
      </c>
      <c r="D37" s="6" t="s">
        <v>41</v>
      </c>
      <c r="E37" s="25" t="s">
        <v>25</v>
      </c>
      <c r="F37" s="25">
        <v>1</v>
      </c>
      <c r="G37" s="25">
        <v>1</v>
      </c>
      <c r="H37" s="9" t="s">
        <v>77</v>
      </c>
    </row>
    <row r="38" spans="1:8">
      <c r="A38" s="29"/>
      <c r="B38" s="10" t="s">
        <v>66</v>
      </c>
      <c r="C38" s="6" t="s">
        <v>73</v>
      </c>
      <c r="D38" s="6" t="s">
        <v>42</v>
      </c>
      <c r="E38" s="25" t="s">
        <v>26</v>
      </c>
      <c r="F38" s="25">
        <v>3</v>
      </c>
      <c r="G38" s="25">
        <v>5</v>
      </c>
      <c r="H38" s="9" t="s">
        <v>77</v>
      </c>
    </row>
    <row r="39" spans="1:8">
      <c r="A39" s="29"/>
      <c r="B39" s="10" t="s">
        <v>66</v>
      </c>
      <c r="C39" s="6" t="s">
        <v>74</v>
      </c>
      <c r="D39" s="6" t="s">
        <v>42</v>
      </c>
      <c r="E39" s="25" t="s">
        <v>26</v>
      </c>
      <c r="F39" s="25">
        <v>3</v>
      </c>
      <c r="G39" s="25">
        <v>5</v>
      </c>
      <c r="H39" s="9" t="s">
        <v>77</v>
      </c>
    </row>
    <row r="40" spans="1:8">
      <c r="B40" s="10" t="s">
        <v>66</v>
      </c>
      <c r="C40" s="6" t="s">
        <v>79</v>
      </c>
      <c r="D40" s="6" t="s">
        <v>41</v>
      </c>
      <c r="E40" s="25" t="s">
        <v>26</v>
      </c>
      <c r="F40" s="25">
        <v>3</v>
      </c>
      <c r="G40" s="8"/>
      <c r="H40" s="9" t="s">
        <v>78</v>
      </c>
    </row>
    <row r="41" spans="1:8">
      <c r="A41" s="91"/>
      <c r="B41" s="5" t="s">
        <v>38</v>
      </c>
      <c r="C41" s="6" t="s">
        <v>72</v>
      </c>
      <c r="D41" s="6" t="s">
        <v>41</v>
      </c>
      <c r="E41" s="25" t="s">
        <v>26</v>
      </c>
      <c r="F41" s="95">
        <v>2</v>
      </c>
      <c r="G41" s="8"/>
      <c r="H41" s="9" t="s">
        <v>78</v>
      </c>
    </row>
    <row r="42" spans="1:8">
      <c r="A42" s="91"/>
      <c r="B42" s="34" t="s">
        <v>39</v>
      </c>
      <c r="C42" s="6" t="s">
        <v>71</v>
      </c>
      <c r="D42" s="6" t="s">
        <v>41</v>
      </c>
      <c r="E42" s="25" t="s">
        <v>26</v>
      </c>
      <c r="F42" s="95">
        <v>2</v>
      </c>
      <c r="G42" s="8"/>
      <c r="H42" s="9" t="s">
        <v>78</v>
      </c>
    </row>
    <row r="43" spans="1:8">
      <c r="A43" s="96"/>
      <c r="B43" s="34"/>
      <c r="C43" s="6"/>
      <c r="D43" s="6"/>
      <c r="E43" s="8"/>
      <c r="F43" s="14"/>
      <c r="G43" s="8"/>
      <c r="H43" s="9"/>
    </row>
    <row r="44" spans="1:8">
      <c r="B44" s="33" t="s">
        <v>37</v>
      </c>
      <c r="C44" s="6" t="s">
        <v>117</v>
      </c>
      <c r="D44" s="6" t="s">
        <v>41</v>
      </c>
      <c r="E44" s="7" t="s">
        <v>26</v>
      </c>
      <c r="F44" s="95">
        <v>2</v>
      </c>
      <c r="G44" s="8"/>
      <c r="H44" s="9" t="s">
        <v>78</v>
      </c>
    </row>
    <row r="45" spans="1:8">
      <c r="B45" s="33" t="s">
        <v>37</v>
      </c>
      <c r="C45" s="6" t="s">
        <v>110</v>
      </c>
      <c r="D45" s="98"/>
      <c r="E45" s="99"/>
      <c r="F45" s="100"/>
      <c r="G45" s="99"/>
      <c r="H45" s="101"/>
    </row>
    <row r="46" spans="1:8">
      <c r="B46" s="33" t="s">
        <v>37</v>
      </c>
      <c r="C46" s="6" t="s">
        <v>111</v>
      </c>
      <c r="D46" s="6" t="s">
        <v>42</v>
      </c>
      <c r="E46" s="7" t="s">
        <v>27</v>
      </c>
      <c r="F46" s="97">
        <v>1</v>
      </c>
      <c r="G46" s="8"/>
      <c r="H46" s="9" t="s">
        <v>78</v>
      </c>
    </row>
    <row r="47" spans="1:8">
      <c r="B47" s="33" t="s">
        <v>37</v>
      </c>
      <c r="C47" s="6" t="s">
        <v>112</v>
      </c>
      <c r="D47" s="6" t="s">
        <v>42</v>
      </c>
      <c r="E47" s="7" t="s">
        <v>27</v>
      </c>
      <c r="F47" s="97">
        <v>1</v>
      </c>
      <c r="G47" s="8"/>
      <c r="H47" s="9" t="s">
        <v>78</v>
      </c>
    </row>
    <row r="48" spans="1:8">
      <c r="B48" s="33" t="s">
        <v>37</v>
      </c>
      <c r="C48" s="6" t="s">
        <v>113</v>
      </c>
      <c r="D48" s="98" t="s">
        <v>42</v>
      </c>
      <c r="E48" s="99"/>
      <c r="F48" s="100"/>
      <c r="G48" s="99"/>
      <c r="H48" s="101" t="s">
        <v>78</v>
      </c>
    </row>
    <row r="49" spans="2:8">
      <c r="B49" s="33" t="s">
        <v>37</v>
      </c>
      <c r="C49" s="6" t="s">
        <v>114</v>
      </c>
      <c r="D49" s="6" t="s">
        <v>43</v>
      </c>
      <c r="E49" s="7" t="s">
        <v>27</v>
      </c>
      <c r="F49" s="97">
        <v>1</v>
      </c>
      <c r="G49" s="8"/>
      <c r="H49" s="9" t="s">
        <v>78</v>
      </c>
    </row>
    <row r="50" spans="2:8">
      <c r="B50" s="33" t="s">
        <v>37</v>
      </c>
      <c r="C50" s="6" t="s">
        <v>115</v>
      </c>
      <c r="D50" s="6" t="s">
        <v>42</v>
      </c>
      <c r="E50" s="7" t="s">
        <v>27</v>
      </c>
      <c r="F50" s="97">
        <v>1</v>
      </c>
      <c r="G50" s="8"/>
      <c r="H50" s="9" t="s">
        <v>78</v>
      </c>
    </row>
    <row r="51" spans="2:8">
      <c r="B51" s="33" t="s">
        <v>37</v>
      </c>
      <c r="C51" s="6" t="s">
        <v>116</v>
      </c>
      <c r="D51" s="6" t="s">
        <v>42</v>
      </c>
      <c r="E51" s="7" t="s">
        <v>27</v>
      </c>
      <c r="F51" s="97">
        <v>1</v>
      </c>
      <c r="G51" s="8"/>
      <c r="H51" s="9" t="s">
        <v>78</v>
      </c>
    </row>
    <row r="52" spans="2:8">
      <c r="B52" s="34" t="s">
        <v>88</v>
      </c>
      <c r="C52" s="6" t="s">
        <v>89</v>
      </c>
      <c r="D52" s="6" t="s">
        <v>41</v>
      </c>
      <c r="E52" s="25" t="s">
        <v>26</v>
      </c>
      <c r="F52" s="25">
        <v>1</v>
      </c>
      <c r="G52" s="25">
        <v>1</v>
      </c>
      <c r="H52" s="9" t="s">
        <v>77</v>
      </c>
    </row>
    <row r="53" spans="2:8">
      <c r="B53" s="34" t="s">
        <v>88</v>
      </c>
      <c r="C53" s="6" t="s">
        <v>90</v>
      </c>
      <c r="D53" s="6" t="s">
        <v>41</v>
      </c>
      <c r="E53" s="25" t="s">
        <v>26</v>
      </c>
      <c r="F53" s="25">
        <v>1</v>
      </c>
      <c r="G53" s="25">
        <v>1</v>
      </c>
      <c r="H53" s="9" t="s">
        <v>77</v>
      </c>
    </row>
    <row r="54" spans="2:8">
      <c r="B54" s="34" t="s">
        <v>88</v>
      </c>
      <c r="C54" s="6" t="s">
        <v>91</v>
      </c>
      <c r="D54" s="6" t="s">
        <v>41</v>
      </c>
      <c r="E54" s="25" t="s">
        <v>26</v>
      </c>
      <c r="F54" s="25">
        <v>1</v>
      </c>
      <c r="G54" s="25">
        <v>1</v>
      </c>
      <c r="H54" s="9" t="s">
        <v>77</v>
      </c>
    </row>
    <row r="55" spans="2:8">
      <c r="B55" s="92" t="s">
        <v>88</v>
      </c>
      <c r="C55" s="13" t="s">
        <v>92</v>
      </c>
      <c r="D55" s="13" t="s">
        <v>41</v>
      </c>
      <c r="E55" s="94" t="s">
        <v>26</v>
      </c>
      <c r="F55" s="94">
        <v>1</v>
      </c>
      <c r="G55" s="14"/>
      <c r="H55" s="93" t="s">
        <v>78</v>
      </c>
    </row>
    <row r="56" spans="2:8">
      <c r="B56" s="34" t="s">
        <v>88</v>
      </c>
      <c r="C56" s="6" t="s">
        <v>93</v>
      </c>
      <c r="D56" s="6" t="s">
        <v>41</v>
      </c>
      <c r="E56" s="25" t="s">
        <v>26</v>
      </c>
      <c r="F56" s="40">
        <v>2</v>
      </c>
      <c r="G56" s="8"/>
      <c r="H56" s="9" t="s">
        <v>78</v>
      </c>
    </row>
    <row r="57" spans="2:8">
      <c r="B57" s="31"/>
      <c r="C57" s="30"/>
      <c r="D57" s="30"/>
      <c r="E57" s="32"/>
      <c r="F57" s="30"/>
      <c r="G57" s="30"/>
      <c r="H57" s="30"/>
    </row>
  </sheetData>
  <phoneticPr fontId="1"/>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BA2C3C-9B9C-4102-83F5-50205D2BE7BB}">
  <dimension ref="C3:M24"/>
  <sheetViews>
    <sheetView workbookViewId="0">
      <selection activeCell="L15" sqref="L15"/>
    </sheetView>
  </sheetViews>
  <sheetFormatPr defaultRowHeight="18.75"/>
  <cols>
    <col min="11" max="11" width="37.5" bestFit="1" customWidth="1"/>
    <col min="12" max="12" width="10.25" bestFit="1" customWidth="1"/>
  </cols>
  <sheetData>
    <row r="3" spans="3:13" ht="19.5" thickBot="1">
      <c r="C3" t="s">
        <v>80</v>
      </c>
    </row>
    <row r="4" spans="3:13">
      <c r="C4" s="75" t="s">
        <v>16</v>
      </c>
      <c r="D4" s="76" t="s">
        <v>17</v>
      </c>
      <c r="E4" s="76" t="s">
        <v>18</v>
      </c>
      <c r="F4" s="76" t="s">
        <v>19</v>
      </c>
      <c r="G4" s="76" t="s">
        <v>20</v>
      </c>
      <c r="H4" s="76" t="s">
        <v>21</v>
      </c>
      <c r="I4" s="77" t="s">
        <v>22</v>
      </c>
      <c r="K4" s="2" t="s">
        <v>81</v>
      </c>
      <c r="L4" s="2"/>
      <c r="M4" s="2" t="s">
        <v>86</v>
      </c>
    </row>
    <row r="5" spans="3:13">
      <c r="C5" s="78"/>
      <c r="D5" s="53">
        <v>1</v>
      </c>
      <c r="E5" s="53">
        <v>2</v>
      </c>
      <c r="F5" s="53">
        <v>3</v>
      </c>
      <c r="G5" s="53">
        <v>4</v>
      </c>
      <c r="H5" s="53">
        <v>5</v>
      </c>
      <c r="I5" s="79">
        <v>6</v>
      </c>
      <c r="K5" s="83" t="s">
        <v>25</v>
      </c>
      <c r="L5" s="84">
        <v>46217</v>
      </c>
      <c r="M5" s="2">
        <f ca="1">_xlfn.DAYS(L5,TODAY())</f>
        <v>-7</v>
      </c>
    </row>
    <row r="6" spans="3:13">
      <c r="C6" s="80">
        <v>7</v>
      </c>
      <c r="D6" s="53">
        <v>8</v>
      </c>
      <c r="E6" s="53">
        <v>9</v>
      </c>
      <c r="F6" s="53">
        <v>10</v>
      </c>
      <c r="G6" s="54">
        <v>11</v>
      </c>
      <c r="H6" s="54">
        <v>12</v>
      </c>
      <c r="I6" s="70">
        <v>13</v>
      </c>
      <c r="K6" s="85" t="s">
        <v>26</v>
      </c>
      <c r="L6" s="84">
        <v>46238</v>
      </c>
      <c r="M6" s="2">
        <f ca="1">_xlfn.DAYS(L6,TODAY())</f>
        <v>14</v>
      </c>
    </row>
    <row r="7" spans="3:13">
      <c r="C7" s="69">
        <v>14</v>
      </c>
      <c r="D7" s="54">
        <v>15</v>
      </c>
      <c r="E7" s="54">
        <v>16</v>
      </c>
      <c r="F7" s="54">
        <v>17</v>
      </c>
      <c r="G7" s="54">
        <v>18</v>
      </c>
      <c r="H7" s="54">
        <v>19</v>
      </c>
      <c r="I7" s="70">
        <v>20</v>
      </c>
      <c r="K7" s="86" t="s">
        <v>27</v>
      </c>
      <c r="L7" s="84">
        <v>46253</v>
      </c>
      <c r="M7" s="2">
        <f ca="1">_xlfn.DAYS(L7,TODAY())</f>
        <v>29</v>
      </c>
    </row>
    <row r="8" spans="3:13">
      <c r="C8" s="69">
        <v>21</v>
      </c>
      <c r="D8" s="54">
        <v>22</v>
      </c>
      <c r="E8" s="54">
        <v>23</v>
      </c>
      <c r="F8" s="54">
        <v>24</v>
      </c>
      <c r="G8" s="54">
        <v>25</v>
      </c>
      <c r="H8" s="54">
        <v>26</v>
      </c>
      <c r="I8" s="70">
        <v>27</v>
      </c>
      <c r="K8" s="87" t="s">
        <v>28</v>
      </c>
      <c r="L8" s="84">
        <v>46258</v>
      </c>
      <c r="M8" s="2">
        <f ca="1">_xlfn.DAYS(L8,TODAY())</f>
        <v>34</v>
      </c>
    </row>
    <row r="9" spans="3:13" ht="19.5" thickBot="1">
      <c r="C9" s="81">
        <v>28</v>
      </c>
      <c r="D9" s="82">
        <v>29</v>
      </c>
      <c r="E9" s="82">
        <v>30</v>
      </c>
      <c r="F9" s="67"/>
      <c r="G9" s="67"/>
      <c r="H9" s="67"/>
      <c r="I9" s="68"/>
    </row>
    <row r="11" spans="3:13" ht="19.5" thickBot="1">
      <c r="C11" t="s">
        <v>23</v>
      </c>
      <c r="D11" s="51"/>
      <c r="E11" s="51"/>
      <c r="F11" s="51"/>
      <c r="G11" s="51"/>
      <c r="H11" s="51"/>
      <c r="I11" s="51"/>
      <c r="K11" s="2" t="s">
        <v>82</v>
      </c>
      <c r="L11" s="88">
        <f>DATE(2026,6,11)</f>
        <v>46184</v>
      </c>
    </row>
    <row r="12" spans="3:13">
      <c r="C12" s="59"/>
      <c r="D12" s="60"/>
      <c r="E12" s="60"/>
      <c r="F12" s="26">
        <v>1</v>
      </c>
      <c r="G12" s="26">
        <v>2</v>
      </c>
      <c r="H12" s="26">
        <v>3</v>
      </c>
      <c r="I12" s="27">
        <v>4</v>
      </c>
      <c r="K12" s="2" t="s">
        <v>83</v>
      </c>
      <c r="L12" s="88">
        <f ca="1">TODAY()</f>
        <v>46224</v>
      </c>
    </row>
    <row r="13" spans="3:13">
      <c r="C13" s="69">
        <v>5</v>
      </c>
      <c r="D13" s="54">
        <v>6</v>
      </c>
      <c r="E13" s="54">
        <v>7</v>
      </c>
      <c r="F13" s="54">
        <v>8</v>
      </c>
      <c r="G13" s="54">
        <v>9</v>
      </c>
      <c r="H13" s="54">
        <v>10</v>
      </c>
      <c r="I13" s="70">
        <v>11</v>
      </c>
      <c r="K13" s="2" t="s">
        <v>85</v>
      </c>
      <c r="L13" s="2">
        <f ca="1">_xlfn.DAYS(L12,L11)</f>
        <v>40</v>
      </c>
    </row>
    <row r="14" spans="3:13">
      <c r="C14" s="69">
        <v>12</v>
      </c>
      <c r="D14" s="54">
        <v>13</v>
      </c>
      <c r="E14" s="54">
        <v>14</v>
      </c>
      <c r="F14" s="56">
        <v>15</v>
      </c>
      <c r="G14" s="56">
        <v>16</v>
      </c>
      <c r="H14" s="56">
        <v>17</v>
      </c>
      <c r="I14" s="71">
        <v>18</v>
      </c>
      <c r="K14" s="2" t="s">
        <v>68</v>
      </c>
      <c r="L14" s="2">
        <f>コスト表!K4</f>
        <v>106</v>
      </c>
    </row>
    <row r="15" spans="3:13">
      <c r="C15" s="72">
        <v>19</v>
      </c>
      <c r="D15" s="56">
        <v>20</v>
      </c>
      <c r="E15" s="56">
        <v>21</v>
      </c>
      <c r="F15" s="56">
        <v>22</v>
      </c>
      <c r="G15" s="56">
        <v>23</v>
      </c>
      <c r="H15" s="56">
        <v>24</v>
      </c>
      <c r="I15" s="71">
        <v>25</v>
      </c>
      <c r="K15" s="2" t="s">
        <v>84</v>
      </c>
      <c r="L15" s="2">
        <f>コスト表!K4-コスト表!L4</f>
        <v>80</v>
      </c>
    </row>
    <row r="16" spans="3:13" ht="19.5" thickBot="1">
      <c r="C16" s="73">
        <v>26</v>
      </c>
      <c r="D16" s="74">
        <v>27</v>
      </c>
      <c r="E16" s="74">
        <v>28</v>
      </c>
      <c r="F16" s="74">
        <v>29</v>
      </c>
      <c r="G16" s="74">
        <v>30</v>
      </c>
      <c r="H16" s="74">
        <v>31</v>
      </c>
      <c r="I16" s="68"/>
      <c r="K16" s="2" t="s">
        <v>87</v>
      </c>
      <c r="L16" s="89"/>
    </row>
    <row r="18" spans="3:9" ht="19.5" thickBot="1">
      <c r="C18" s="51" t="s">
        <v>24</v>
      </c>
      <c r="D18" s="51"/>
      <c r="E18" s="51"/>
      <c r="F18" s="51"/>
      <c r="G18" s="51"/>
      <c r="H18" s="51"/>
      <c r="I18" s="51"/>
    </row>
    <row r="19" spans="3:9">
      <c r="C19" s="59"/>
      <c r="D19" s="60"/>
      <c r="E19" s="60"/>
      <c r="F19" s="60"/>
      <c r="G19" s="60"/>
      <c r="H19" s="60"/>
      <c r="I19" s="102">
        <v>1</v>
      </c>
    </row>
    <row r="20" spans="3:9">
      <c r="C20" s="72">
        <v>2</v>
      </c>
      <c r="D20" s="56">
        <v>3</v>
      </c>
      <c r="E20" s="56">
        <v>4</v>
      </c>
      <c r="F20" s="57">
        <v>5</v>
      </c>
      <c r="G20" s="57">
        <v>6</v>
      </c>
      <c r="H20" s="57">
        <v>7</v>
      </c>
      <c r="I20" s="62">
        <v>8</v>
      </c>
    </row>
    <row r="21" spans="3:9">
      <c r="C21" s="61">
        <v>9</v>
      </c>
      <c r="D21" s="57">
        <v>10</v>
      </c>
      <c r="E21" s="57">
        <v>11</v>
      </c>
      <c r="F21" s="57">
        <v>12</v>
      </c>
      <c r="G21" s="57">
        <v>13</v>
      </c>
      <c r="H21" s="57">
        <v>14</v>
      </c>
      <c r="I21" s="62">
        <v>15</v>
      </c>
    </row>
    <row r="22" spans="3:9">
      <c r="C22" s="61">
        <v>16</v>
      </c>
      <c r="D22" s="57">
        <v>17</v>
      </c>
      <c r="E22" s="57">
        <v>18</v>
      </c>
      <c r="F22" s="57">
        <v>19</v>
      </c>
      <c r="G22" s="58">
        <v>20</v>
      </c>
      <c r="H22" s="58">
        <v>21</v>
      </c>
      <c r="I22" s="63">
        <v>22</v>
      </c>
    </row>
    <row r="23" spans="3:9">
      <c r="C23" s="64">
        <v>23</v>
      </c>
      <c r="D23" s="58">
        <v>24</v>
      </c>
      <c r="E23" s="55">
        <v>25</v>
      </c>
      <c r="F23" s="55">
        <v>26</v>
      </c>
      <c r="G23" s="55">
        <v>27</v>
      </c>
      <c r="H23" s="55">
        <v>28</v>
      </c>
      <c r="I23" s="65">
        <v>29</v>
      </c>
    </row>
    <row r="24" spans="3:9" ht="19.5" thickBot="1">
      <c r="C24" s="66">
        <v>30</v>
      </c>
      <c r="D24" s="67">
        <v>31</v>
      </c>
      <c r="E24" s="67"/>
      <c r="F24" s="67"/>
      <c r="G24" s="67"/>
      <c r="H24" s="67"/>
      <c r="I24" s="68"/>
    </row>
  </sheetData>
  <phoneticPr fontId="1"/>
  <pageMargins left="0.7" right="0.7" top="0.75" bottom="0.75" header="0.3" footer="0.3"/>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C3F72-B603-4FD5-9BCE-7621097C86E9}">
  <dimension ref="B1:C20"/>
  <sheetViews>
    <sheetView workbookViewId="0">
      <selection activeCell="C27" sqref="C27"/>
    </sheetView>
  </sheetViews>
  <sheetFormatPr defaultRowHeight="18.75"/>
  <cols>
    <col min="2" max="2" width="39.625" bestFit="1" customWidth="1"/>
    <col min="3" max="3" width="67.875" bestFit="1" customWidth="1"/>
  </cols>
  <sheetData>
    <row r="1" spans="2:3">
      <c r="B1" s="4" t="s">
        <v>15</v>
      </c>
    </row>
    <row r="3" spans="2:3">
      <c r="B3" s="1" t="s">
        <v>0</v>
      </c>
    </row>
    <row r="4" spans="2:3">
      <c r="B4" s="2" t="s">
        <v>1</v>
      </c>
    </row>
    <row r="5" spans="2:3">
      <c r="B5" s="2" t="s">
        <v>2</v>
      </c>
    </row>
    <row r="6" spans="2:3">
      <c r="B6" s="2" t="s">
        <v>5</v>
      </c>
    </row>
    <row r="7" spans="2:3">
      <c r="B7" s="2" t="s">
        <v>3</v>
      </c>
    </row>
    <row r="8" spans="2:3">
      <c r="B8" s="2" t="s">
        <v>4</v>
      </c>
    </row>
    <row r="9" spans="2:3">
      <c r="B9" s="2" t="s">
        <v>6</v>
      </c>
    </row>
    <row r="10" spans="2:3">
      <c r="B10" s="2" t="s">
        <v>7</v>
      </c>
    </row>
    <row r="11" spans="2:3">
      <c r="B11" s="2" t="s">
        <v>9</v>
      </c>
    </row>
    <row r="14" spans="2:3">
      <c r="B14" s="1" t="s">
        <v>10</v>
      </c>
      <c r="C14" s="3" t="s">
        <v>14</v>
      </c>
    </row>
    <row r="15" spans="2:3">
      <c r="B15" s="2" t="s">
        <v>8</v>
      </c>
      <c r="C15" t="s">
        <v>13</v>
      </c>
    </row>
    <row r="16" spans="2:3">
      <c r="B16" s="2" t="s">
        <v>2</v>
      </c>
    </row>
    <row r="17" spans="2:2">
      <c r="B17" s="2" t="s">
        <v>12</v>
      </c>
    </row>
    <row r="18" spans="2:2">
      <c r="B18" s="2" t="s">
        <v>11</v>
      </c>
    </row>
    <row r="19" spans="2:2">
      <c r="B19" s="2" t="s">
        <v>9</v>
      </c>
    </row>
    <row r="20" spans="2:2">
      <c r="B20" s="2" t="s">
        <v>6</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85B79-2913-4153-8878-67542F5BF827}">
  <dimension ref="B2:B24"/>
  <sheetViews>
    <sheetView tabSelected="1" topLeftCell="A18" workbookViewId="0">
      <selection activeCell="B24" sqref="B24"/>
    </sheetView>
  </sheetViews>
  <sheetFormatPr defaultRowHeight="18.75"/>
  <cols>
    <col min="2" max="2" width="75.25" bestFit="1" customWidth="1"/>
  </cols>
  <sheetData>
    <row r="2" spans="2:2">
      <c r="B2" t="s">
        <v>108</v>
      </c>
    </row>
    <row r="3" spans="2:2">
      <c r="B3" t="s">
        <v>100</v>
      </c>
    </row>
    <row r="4" spans="2:2">
      <c r="B4" t="s">
        <v>101</v>
      </c>
    </row>
    <row r="9" spans="2:2">
      <c r="B9" t="s">
        <v>102</v>
      </c>
    </row>
    <row r="10" spans="2:2">
      <c r="B10" t="s">
        <v>103</v>
      </c>
    </row>
    <row r="11" spans="2:2">
      <c r="B11" t="s">
        <v>104</v>
      </c>
    </row>
    <row r="12" spans="2:2">
      <c r="B12" t="s">
        <v>107</v>
      </c>
    </row>
    <row r="13" spans="2:2">
      <c r="B13" t="s">
        <v>105</v>
      </c>
    </row>
    <row r="14" spans="2:2">
      <c r="B14" t="s">
        <v>106</v>
      </c>
    </row>
    <row r="16" spans="2:2">
      <c r="B16" t="s">
        <v>109</v>
      </c>
    </row>
    <row r="17" spans="2:2">
      <c r="B17" t="s">
        <v>118</v>
      </c>
    </row>
    <row r="18" spans="2:2">
      <c r="B18" t="s">
        <v>119</v>
      </c>
    </row>
    <row r="19" spans="2:2" ht="37.5">
      <c r="B19" s="3" t="s">
        <v>120</v>
      </c>
    </row>
    <row r="21" spans="2:2">
      <c r="B21" t="s">
        <v>121</v>
      </c>
    </row>
    <row r="22" spans="2:2">
      <c r="B22" t="s">
        <v>122</v>
      </c>
    </row>
    <row r="23" spans="2:2">
      <c r="B23" t="s">
        <v>123</v>
      </c>
    </row>
    <row r="24" spans="2:2">
      <c r="B24" t="s">
        <v>124</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BF92EDF-ED1E-417F-8834-D10F3329C6F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コスト表</vt:lpstr>
      <vt:lpstr>スケジュール</vt:lpstr>
      <vt:lpstr>クラス設計・概要</vt:lpstr>
      <vt:lpstr>memo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大崎　永遠</dc:creator>
  <cp:lastModifiedBy>大崎　永遠</cp:lastModifiedBy>
  <dcterms:created xsi:type="dcterms:W3CDTF">2026-06-10T00:51:26Z</dcterms:created>
  <dcterms:modified xsi:type="dcterms:W3CDTF">2026-07-21T02:23:35Z</dcterms:modified>
</cp:coreProperties>
</file>