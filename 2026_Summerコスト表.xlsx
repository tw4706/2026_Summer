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954161C5-3F44-4FDF-BE96-F9A2872A62F6}" xr6:coauthVersionLast="47" xr6:coauthVersionMax="47" xr10:uidLastSave="{00000000-0000-0000-0000-000000000000}"/>
  <bookViews>
    <workbookView xWindow="-225" yWindow="-16320" windowWidth="29040" windowHeight="1572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<sst xmlns="http://schemas.openxmlformats.org/spreadsheetml/2006/main" count="278" uniqueCount="100">
  <si>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</si>
  <si>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</si>
  <si>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</si>
  <si>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</si>
  <si>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</si>
  <si>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</si>
  <si>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</si>
  <si>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</si>
  <si>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</si>
  <si>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</si>
  <si>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</si>
  <si>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</si>
  <si>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</si>
  <si>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</si>
  <si>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</si>
  <si>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</si>
  <si>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</si>
  <si>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</si>
  <si>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</si>
  <si>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</si>
  <si>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</si>
  <si>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</si>
  <si>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</si>
  <si>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</si>
  <si>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</si>
  <si>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</si>
  <si>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</si>
  <si>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</si>
  <si>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</si>
  <si>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</si>
  <si>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</si>
  <si>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</si>
  <si>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</si>
  <si>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</si>
  <si>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</si>
  <si>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</si>
  <si>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</si>
  <si>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</si>
  <si>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</si>
  <si>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</si>
  <si>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</si>
  <si>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</si>
  <si>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</si>
  <si>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</si>
  <si>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</si>
  <si>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</si>
  <si>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</si>
  <si>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</si>
  <si>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</si>
  <si>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</si>
  <si>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</si>
  <si>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</si>
  <si>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</si>
  <si>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</si>
  <si>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</si>
  <si>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</si>
  <si>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</si>
  <si>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</si>
  <si>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</si>
  <si>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</si>
  <si>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</si>
  <si>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</si>
  <si>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</si>
  <si>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</si>
  <si>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</si>
  <si>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</si>
  <si>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</si>
  <si>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</si>
  <si>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</si>
  <si>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</si>
  <si>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</si>
  <si>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</si>
  <si>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</si>
  <si>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</si>
  <si>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</si>
  <si>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</si>
  <si>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</si>
  <si>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</si>
  <si>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</si>
  <si>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</si>
  <si>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</si>
  <si>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</si>
  <si>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</si>
  <si>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</si>
  <si>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</si>
  <si>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</si>
  <si>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</si>
  <si>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</si>
  <si>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</si>
  <si>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</si>
  <si>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</si>
  <si>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</si>
  <si>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</si>
  <si>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</si>
  <si>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</si>
  <si>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</si>
  <si>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</si>
  <si>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</si>
  <si>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</si>
  <si>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スポナー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</si>
</sst>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6">
    <dxf>
      <font>
        <color auto="1"/>
      </font>
    </dxf>
    <dxf>
      <font>
        <color auto="1"/>
      </font>
    </dxf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>
        <bottom style="thin">
          <color theme="0" tint="-0.249977111117893"/>
        </bottom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5" dataDxfId="14" headerRowBorderDxfId="12" tableBorderDxfId="13" totalsRowBorderDxfId="11">
  <autoFilter ref="B3:H48" xr:uid="{935F7255-1AB1-4CF6-B090-10E22EB9181F}"/>
  <sortState xmlns:xlrd2="http://schemas.microsoft.com/office/spreadsheetml/2017/richdata2" ref="B4:H38">
    <sortCondition sortBy="fontColor" ref="F3:F38" dxfId="10"/>
  </sortState>
  <tableColumns count="7">
    <tableColumn id="1" xr3:uid="{DBD721D9-31E7-4852-8751-88A020768938}" name="役割" dataDxfId="9"/>
    <tableColumn id="8" xr3:uid="{3A719BC1-D049-45A6-828B-0FEEDD23AE1D}" name="内容" dataDxfId="8"/>
    <tableColumn id="3" xr3:uid="{B983F2FB-E4C1-4AAB-8082-88DC198AD31B}" name="優先度" dataDxfId="7"/>
    <tableColumn id="4" xr3:uid="{5D1C8FFC-8CC7-42BC-9650-F477F1294E92}" name="バージョン" dataDxfId="6"/>
    <tableColumn id="2" xr3:uid="{9F12BE3B-0DD1-41C1-8C2C-AF6C8F247D3C}" name="想定コスト" dataDxfId="5"/>
    <tableColumn id="6" xr3:uid="{13FB0F58-83C3-4C72-867B-ED29D88D66FA}" name="実コスト" dataDxfId="4"/>
    <tableColumn id="7" xr3:uid="{B9DAC499-4733-4C1B-85B6-D412A0C2495C}" name="ステータス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9"/>
  <sheetViews>
    <sheetView tabSelected="1" topLeftCell="A9" workbookViewId="0">
      <selection activeCell="C29" sqref="C29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101</v>
      </c>
      <c r="L4" s="41">
        <f>SUMIF(テーブル1[ステータス],"未完了",テーブル1[想定コスト])</f>
        <v>52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68</v>
      </c>
      <c r="L5" s="42">
        <f>SUMIFS(テーブル1[想定コスト],テーブル1[バージョン],J5,テーブル1[ステータス],"未完了")</f>
        <v>23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29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95</v>
      </c>
      <c r="D9" s="6" t="s">
        <v>41</v>
      </c>
      <c r="E9" s="25" t="s">
        <v>25</v>
      </c>
      <c r="F9" s="95">
        <v>3</v>
      </c>
      <c r="G9" s="25">
        <v>3</v>
      </c>
      <c r="H9" s="39" t="s">
        <v>77</v>
      </c>
    </row>
    <row r="10" spans="2:13">
      <c r="B10" s="10" t="s">
        <v>0</v>
      </c>
      <c r="C10" s="6" t="s">
        <v>46</v>
      </c>
      <c r="D10" s="6" t="s">
        <v>41</v>
      </c>
      <c r="E10" s="25" t="s">
        <v>25</v>
      </c>
      <c r="F10" s="25">
        <v>1</v>
      </c>
      <c r="G10" s="25">
        <v>1</v>
      </c>
      <c r="H10" s="9" t="s">
        <v>77</v>
      </c>
    </row>
    <row r="11" spans="2:13">
      <c r="B11" s="10" t="s">
        <v>0</v>
      </c>
      <c r="C11" s="6" t="s">
        <v>51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47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49</v>
      </c>
      <c r="D13" s="6" t="s">
        <v>42</v>
      </c>
      <c r="E13" s="25" t="s">
        <v>25</v>
      </c>
      <c r="F13" s="25">
        <v>1</v>
      </c>
      <c r="G13" s="8"/>
      <c r="H13" s="9" t="s">
        <v>78</v>
      </c>
    </row>
    <row r="14" spans="2:13">
      <c r="B14" s="10" t="s">
        <v>0</v>
      </c>
      <c r="C14" s="6" t="s">
        <v>48</v>
      </c>
      <c r="D14" s="6" t="s">
        <v>41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52</v>
      </c>
      <c r="D15" s="6" t="s">
        <v>41</v>
      </c>
      <c r="E15" s="25" t="s">
        <v>25</v>
      </c>
      <c r="F15" s="25">
        <v>1</v>
      </c>
      <c r="G15" s="8"/>
      <c r="H15" s="9" t="s">
        <v>78</v>
      </c>
    </row>
    <row r="16" spans="2:13">
      <c r="B16" s="10" t="s">
        <v>0</v>
      </c>
      <c r="C16" s="6" t="s">
        <v>50</v>
      </c>
      <c r="D16" s="6" t="s">
        <v>41</v>
      </c>
      <c r="E16" s="25" t="s">
        <v>25</v>
      </c>
      <c r="F16" s="25">
        <v>1</v>
      </c>
      <c r="G16" s="8"/>
      <c r="H16" s="9" t="s">
        <v>78</v>
      </c>
    </row>
    <row r="17" spans="2:12">
      <c r="B17" s="10" t="s">
        <v>0</v>
      </c>
      <c r="C17" s="6" t="s">
        <v>53</v>
      </c>
      <c r="D17" s="6" t="s">
        <v>42</v>
      </c>
      <c r="E17" s="25" t="s">
        <v>26</v>
      </c>
      <c r="F17" s="25">
        <v>3</v>
      </c>
      <c r="G17" s="8"/>
      <c r="H17" s="9" t="s">
        <v>78</v>
      </c>
    </row>
    <row r="18" spans="2:12">
      <c r="B18" s="11" t="s">
        <v>54</v>
      </c>
      <c r="C18" s="6" t="s">
        <v>46</v>
      </c>
      <c r="D18" s="6" t="s">
        <v>41</v>
      </c>
      <c r="E18" s="25" t="s">
        <v>25</v>
      </c>
      <c r="F18" s="25">
        <v>1</v>
      </c>
      <c r="G18" s="25">
        <v>1</v>
      </c>
      <c r="H18" s="9" t="s">
        <v>77</v>
      </c>
    </row>
    <row r="19" spans="2:12">
      <c r="B19" s="11" t="s">
        <v>54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50</v>
      </c>
      <c r="D20" s="6" t="s">
        <v>41</v>
      </c>
      <c r="E20" s="25" t="s">
        <v>26</v>
      </c>
      <c r="F20" s="25">
        <v>1</v>
      </c>
      <c r="G20" s="25">
        <v>1</v>
      </c>
      <c r="H20" s="9" t="s">
        <v>77</v>
      </c>
    </row>
    <row r="21" spans="2:12">
      <c r="B21" s="11" t="s">
        <v>55</v>
      </c>
      <c r="C21" s="6" t="s">
        <v>46</v>
      </c>
      <c r="D21" s="6" t="s">
        <v>41</v>
      </c>
      <c r="E21" s="25" t="s">
        <v>25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47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50</v>
      </c>
      <c r="D23" s="6" t="s">
        <v>41</v>
      </c>
      <c r="E23" s="25" t="s">
        <v>26</v>
      </c>
      <c r="F23" s="25">
        <v>1</v>
      </c>
      <c r="G23" s="8"/>
      <c r="H23" s="9" t="s">
        <v>78</v>
      </c>
    </row>
    <row r="24" spans="2:12">
      <c r="B24" s="11" t="s">
        <v>65</v>
      </c>
      <c r="C24" s="6" t="s">
        <v>46</v>
      </c>
      <c r="D24" s="6" t="s">
        <v>41</v>
      </c>
      <c r="E24" s="25" t="s">
        <v>26</v>
      </c>
      <c r="F24" s="25">
        <v>1</v>
      </c>
      <c r="G24" s="8"/>
      <c r="H24" s="9" t="s">
        <v>78</v>
      </c>
    </row>
    <row r="25" spans="2:12">
      <c r="B25" s="11" t="s">
        <v>65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50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62</v>
      </c>
      <c r="C27" s="6" t="s">
        <v>98</v>
      </c>
      <c r="D27" s="6" t="s">
        <v>41</v>
      </c>
      <c r="E27" s="25" t="s">
        <v>25</v>
      </c>
      <c r="F27" s="95">
        <v>8</v>
      </c>
      <c r="G27" s="8"/>
      <c r="H27" s="9" t="s">
        <v>78</v>
      </c>
    </row>
    <row r="28" spans="2:12">
      <c r="B28" s="11" t="s">
        <v>62</v>
      </c>
      <c r="C28" s="6" t="s">
        <v>75</v>
      </c>
      <c r="D28" s="6" t="s">
        <v>41</v>
      </c>
      <c r="E28" s="25" t="s">
        <v>25</v>
      </c>
      <c r="F28" s="25">
        <v>5</v>
      </c>
      <c r="G28" s="8"/>
      <c r="H28" s="9" t="s">
        <v>78</v>
      </c>
    </row>
    <row r="29" spans="2:12">
      <c r="B29" s="11" t="s">
        <v>62</v>
      </c>
      <c r="C29" s="6" t="s">
        <v>99</v>
      </c>
      <c r="D29" s="6" t="s">
        <v>41</v>
      </c>
      <c r="E29" s="25" t="s">
        <v>25</v>
      </c>
      <c r="F29" s="25">
        <v>5</v>
      </c>
      <c r="G29" s="8"/>
      <c r="H29" s="9" t="s">
        <v>78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  <c r="L31" s="28"/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8"/>
      <c r="H32" s="9" t="s">
        <v>78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8"/>
      <c r="H34" s="9" t="s">
        <v>78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A40" s="29"/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A43" s="92"/>
      <c r="B43" s="33" t="s">
        <v>37</v>
      </c>
      <c r="C43" s="6"/>
      <c r="D43" s="6"/>
      <c r="E43" s="25"/>
      <c r="F43" s="95"/>
      <c r="G43" s="8"/>
      <c r="H43" s="9"/>
    </row>
    <row r="44" spans="1:8">
      <c r="B44" s="34" t="s">
        <v>88</v>
      </c>
      <c r="C44" s="6" t="s">
        <v>89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90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91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93" t="s">
        <v>88</v>
      </c>
      <c r="C47" s="13" t="s">
        <v>92</v>
      </c>
      <c r="D47" s="13" t="s">
        <v>41</v>
      </c>
      <c r="E47" s="95" t="s">
        <v>26</v>
      </c>
      <c r="F47" s="95">
        <v>1</v>
      </c>
      <c r="G47" s="14"/>
      <c r="H47" s="94" t="s">
        <v>78</v>
      </c>
    </row>
    <row r="48" spans="1:8">
      <c r="B48" s="34" t="s">
        <v>88</v>
      </c>
      <c r="C48" s="6" t="s">
        <v>93</v>
      </c>
      <c r="D48" s="6" t="s">
        <v>41</v>
      </c>
      <c r="E48" s="25" t="s">
        <v>26</v>
      </c>
      <c r="F48" s="40">
        <v>2</v>
      </c>
      <c r="G48" s="8"/>
      <c r="H48" s="9" t="s">
        <v>78</v>
      </c>
    </row>
    <row r="49" spans="2:8">
      <c r="B49" s="31"/>
      <c r="C49" s="30"/>
      <c r="D49" s="30"/>
      <c r="E49" s="32"/>
      <c r="F49" s="30"/>
      <c r="G49" s="30"/>
      <c r="H49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13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30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49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54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46204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20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101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52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2026-07-01T06:17:37Z</dcterms:modified>
</cp:coreProperties>
</file>