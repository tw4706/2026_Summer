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A4455C51-41D9-4FC2-9C42-77AE794F1E33}" xr6:coauthVersionLast="47" xr6:coauthVersionMax="47" xr10:uidLastSave="{00000000-0000-0000-0000-000000000000}"/>
  <bookViews>
    <workbookView xWindow="-225" yWindow="-16320" windowWidth="29040" windowHeight="16440" activeTab="3" xr2:uid="{3C510CAE-AB3A-463F-A0D4-BBB49D2AE695}"/>
  </bookViews>
  <sheets>
    <sheet name="コスト表" sheetId="1" r:id="rId1"/>
    <sheet name="スケジュール" sheetId="3" r:id="rId2"/>
    <sheet name="クラス設計・概要" sheetId="2" r:id="rId3"/>
    <sheet name="mem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<sst xmlns="http://schemas.openxmlformats.org/spreadsheetml/2006/main" count="326" uniqueCount="121">
  <si>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</si>
  <si>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</si>
  <si>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</si>
  <si>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</si>
  <si>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</si>
  <si>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</si>
  <si>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</si>
  <si>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</si>
  <si>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</si>
  <si>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</si>
  <si>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</si>
  <si>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</si>
  <si>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</si>
  <si>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</si>
  <si>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</si>
  <si>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</si>
  <si>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</si>
  <si>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</si>
  <si>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</si>
  <si>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</si>
  <si>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</si>
  <si>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</si>
  <si>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</si>
  <si>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</si>
  <si>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</si>
  <si>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</si>
  <si>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</si>
  <si>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</si>
  <si>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</si>
  <si>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</si>
  <si>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</si>
  <si>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</si>
  <si>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</si>
  <si>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</si>
  <si>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</si>
  <si>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</si>
  <si>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</si>
  <si>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</si>
  <si>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</si>
  <si>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</si>
  <si>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</si>
  <si>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</si>
  <si>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</si>
  <si>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</si>
  <si>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</si>
  <si>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</si>
  <si>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</si>
  <si>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</si>
  <si>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</si>
  <si>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</si>
  <si>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</si>
  <si>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</si>
  <si>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</si>
  <si>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</si>
  <si>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</si>
  <si>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</si>
  <si>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</si>
  <si>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</si>
  <si>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</si>
  <si>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</si>
  <si>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</si>
  <si>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</si>
  <si>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</si>
  <si>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</si>
  <si>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</si>
  <si>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</si>
  <si>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</si>
  <si>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</si>
  <si>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</si>
  <si>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</si>
  <si>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</si>
  <si>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</si>
  <si>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</si>
  <si>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</si>
  <si>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</si>
  <si>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</si>
  <si>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</si>
  <si>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</si>
  <si>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</si>
  <si>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</si>
  <si>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</si>
  <si>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</si>
  <si>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</si>
  <si>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</si>
  <si>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</si>
  <si>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</si>
  <si>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</si>
  <si>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</si>
  <si>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</si>
  <si>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</si>
  <si>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</si>
  <si>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</si>
  <si>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</si>
  <si>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</si>
  <si>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</si>
  <si>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</si>
  <si>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</si>
  <si>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</si>
  <si>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</si>
  <si>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</si>
  <si>
    <t>・ボス前までの敵をすべて倒したらいったんリザルトに移行</t>
    <rPh sb="3" eb="4">
      <t>マエ</t>
    </rPh>
    <rPh sb="7" eb="8">
      <t>テキ</t>
    </rPh>
    <rPh sb="12" eb="13">
      <t>タオ</t>
    </rPh>
    <rPh sb="25" eb="27">
      <t>イコウ</t>
    </rPh>
    <phoneticPr fontId="1"/>
  </si>
  <si>
    <t>・敵の攻撃のステートマシンの仕様を固めて実装</t>
    <rPh sb="1" eb="2">
      <t>テキ</t>
    </rPh>
    <rPh sb="3" eb="5">
      <t>コウゲキ</t>
    </rPh>
    <rPh sb="14" eb="16">
      <t>シヨウ</t>
    </rPh>
    <rPh sb="17" eb="18">
      <t>カタ</t>
    </rPh>
    <rPh sb="20" eb="22">
      <t>ジッソウ</t>
    </rPh>
    <phoneticPr fontId="1"/>
  </si>
  <si>
    <t>敵の攻撃</t>
    <rPh sb="0" eb="1">
      <t>テキ</t>
    </rPh>
    <rPh sb="2" eb="4">
      <t>コウゲキ</t>
    </rPh>
    <phoneticPr fontId="1"/>
  </si>
  <si>
    <t>通常攻撃</t>
    <rPh sb="0" eb="4">
      <t>ツウジョウコウゲキ</t>
    </rPh>
    <phoneticPr fontId="1"/>
  </si>
  <si>
    <t>プレイヤーガードを何フレームか実行していたら</t>
    <rPh sb="9" eb="10">
      <t>ナン</t>
    </rPh>
    <rPh sb="15" eb="17">
      <t>ジッコウ</t>
    </rPh>
    <phoneticPr fontId="1"/>
  </si>
  <si>
    <t>プレイヤーが攻撃を続けていたら</t>
    <rPh sb="6" eb="8">
      <t>コウゲキ</t>
    </rPh>
    <rPh sb="9" eb="10">
      <t>ツヅ</t>
    </rPh>
    <phoneticPr fontId="1"/>
  </si>
  <si>
    <t>→敵がガード</t>
    <rPh sb="1" eb="2">
      <t>テキ</t>
    </rPh>
    <phoneticPr fontId="1"/>
  </si>
  <si>
    <t>→ジャンプ攻撃(ダメージを2倍とかにして、食らったらやばそうな雰囲気にする)</t>
    <rPh sb="5" eb="7">
      <t>コウゲキ</t>
    </rPh>
    <rPh sb="14" eb="15">
      <t>バイ</t>
    </rPh>
    <rPh sb="21" eb="22">
      <t>ク</t>
    </rPh>
    <rPh sb="31" eb="34">
      <t>フンイキ</t>
    </rPh>
    <phoneticPr fontId="1"/>
  </si>
  <si>
    <t>プロト終了までにやること</t>
    <rPh sb="3" eb="5">
      <t>シュウリョウ</t>
    </rPh>
    <phoneticPr fontId="1"/>
  </si>
  <si>
    <t>敵メモ</t>
    <rPh sb="0" eb="1">
      <t>テキ</t>
    </rPh>
    <phoneticPr fontId="1"/>
  </si>
  <si>
    <t>タイトル</t>
    <phoneticPr fontId="1"/>
  </si>
  <si>
    <t>→スタートボタン</t>
    <phoneticPr fontId="1"/>
  </si>
  <si>
    <t>→ゲーム終了ボタン</t>
    <phoneticPr fontId="1"/>
  </si>
  <si>
    <t>リザルト</t>
    <phoneticPr fontId="1"/>
  </si>
  <si>
    <t>→スコア表示</t>
    <rPh sb="4" eb="6">
      <t>ヒョウジ</t>
    </rPh>
    <phoneticPr fontId="1"/>
  </si>
  <si>
    <t>→リスタートボタン</t>
    <phoneticPr fontId="1"/>
  </si>
  <si>
    <t>→タイトルに戻るボタン</t>
    <phoneticPr fontId="1"/>
  </si>
  <si>
    <t>UIマネージャー実装</t>
    <rPh sb="8" eb="10">
      <t>ジッソウ</t>
    </rPh>
    <phoneticPr fontId="1"/>
  </si>
  <si>
    <t>強攻撃はプレイヤーのシールドをはがすとかでもいいかも</t>
    <rPh sb="0" eb="3">
      <t>キョウコウゲキ</t>
    </rPh>
    <phoneticPr fontId="1"/>
  </si>
  <si>
    <t>そしたらいろんなパターンでの攻略ができる</t>
    <rPh sb="14" eb="16">
      <t>コウリャク</t>
    </rPh>
    <phoneticPr fontId="1"/>
  </si>
  <si>
    <t>敵の視認範囲と反応範囲を持ち反応範囲に入ったら反応ステートに遷移し、
反応ステート時は視認範囲を敵に近づける</t>
    <rPh sb="0" eb="1">
      <t>テキ</t>
    </rPh>
    <rPh sb="2" eb="6">
      <t>シニンハンイ</t>
    </rPh>
    <rPh sb="7" eb="11">
      <t>ハンノウハンイ</t>
    </rPh>
    <rPh sb="12" eb="13">
      <t>モ</t>
    </rPh>
    <rPh sb="14" eb="18">
      <t>ハンノウハンイ</t>
    </rPh>
    <rPh sb="19" eb="20">
      <t>ハイ</t>
    </rPh>
    <rPh sb="23" eb="25">
      <t>ハンノウ</t>
    </rPh>
    <rPh sb="30" eb="32">
      <t>センイ</t>
    </rPh>
    <rPh sb="35" eb="37">
      <t>ハンノウ</t>
    </rPh>
    <rPh sb="41" eb="42">
      <t>ジ</t>
    </rPh>
    <rPh sb="43" eb="45">
      <t>シニン</t>
    </rPh>
    <rPh sb="45" eb="47">
      <t>ハンイ</t>
    </rPh>
    <rPh sb="48" eb="49">
      <t>テキ</t>
    </rPh>
    <rPh sb="50" eb="51">
      <t>チカ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</si>
</sst>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  <xf numFmtId="0" fontId="5" fillId="0" borderId="0" xfId="0" applyFont="1">
      <alignment vertical="center"/>
    </xf>
    <xf numFmtId="0" fontId="6" fillId="13" borderId="16" xfId="0" applyFont="1" applyFill="1" applyBorder="1">
      <alignment vertical="center"/>
    </xf>
    <xf numFmtId="0" fontId="0" fillId="20" borderId="13" xfId="0" applyFill="1" applyBorder="1">
      <alignment vertical="center"/>
    </xf>
    <xf numFmtId="0" fontId="3" fillId="20" borderId="13" xfId="0" applyFont="1" applyFill="1" applyBorder="1">
      <alignment vertical="center"/>
    </xf>
    <xf numFmtId="0" fontId="3" fillId="20" borderId="16" xfId="0" applyFont="1" applyFill="1" applyBorder="1">
      <alignment vertical="center"/>
    </xf>
    <xf numFmtId="0" fontId="0" fillId="20" borderId="14" xfId="0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56" totalsRowShown="0" headerRowDxfId="12" dataDxfId="10" headerRowBorderDxfId="11" tableBorderDxfId="9" totalsRowBorderDxfId="8">
  <autoFilter ref="B3:H56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7"/>
  <sheetViews>
    <sheetView topLeftCell="A33" workbookViewId="0">
      <selection activeCell="L29" sqref="L29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106</v>
      </c>
      <c r="L4" s="41">
        <f>SUMIF(テーブル1[ステータス],"未完了",テーブル1[想定コスト])</f>
        <v>26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0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35</v>
      </c>
      <c r="L6" s="43">
        <f>SUMIFS(テーブル1[想定コスト],テーブル1[バージョン],J6,テーブル1[ステータス],"未完了")</f>
        <v>21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5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25">
        <v>1</v>
      </c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25">
        <v>1</v>
      </c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25">
        <v>1</v>
      </c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>
        <v>10</v>
      </c>
      <c r="H28" s="9" t="s">
        <v>77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>
        <v>8</v>
      </c>
      <c r="H29" s="9" t="s">
        <v>77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25">
        <v>5</v>
      </c>
      <c r="H38" s="9" t="s">
        <v>77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25">
        <v>5</v>
      </c>
      <c r="H39" s="9" t="s">
        <v>77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A43" s="97"/>
      <c r="B43" s="34"/>
      <c r="C43" s="6"/>
      <c r="D43" s="6"/>
      <c r="E43" s="8"/>
      <c r="F43" s="14"/>
      <c r="G43" s="8"/>
      <c r="H43" s="9"/>
    </row>
    <row r="44" spans="1:8">
      <c r="B44" s="33" t="s">
        <v>37</v>
      </c>
      <c r="C44" s="6" t="s">
        <v>117</v>
      </c>
      <c r="D44" s="6" t="s">
        <v>41</v>
      </c>
      <c r="E44" s="7" t="s">
        <v>26</v>
      </c>
      <c r="F44" s="96">
        <v>2</v>
      </c>
      <c r="G44" s="8"/>
      <c r="H44" s="9" t="s">
        <v>78</v>
      </c>
    </row>
    <row r="45" spans="1:8">
      <c r="B45" s="33" t="s">
        <v>37</v>
      </c>
      <c r="C45" s="6" t="s">
        <v>110</v>
      </c>
      <c r="D45" s="99"/>
      <c r="E45" s="100"/>
      <c r="F45" s="101"/>
      <c r="G45" s="100"/>
      <c r="H45" s="102"/>
    </row>
    <row r="46" spans="1:8">
      <c r="B46" s="33" t="s">
        <v>37</v>
      </c>
      <c r="C46" s="6" t="s">
        <v>111</v>
      </c>
      <c r="D46" s="6" t="s">
        <v>42</v>
      </c>
      <c r="E46" s="7" t="s">
        <v>27</v>
      </c>
      <c r="F46" s="98">
        <v>1</v>
      </c>
      <c r="G46" s="8"/>
      <c r="H46" s="9" t="s">
        <v>78</v>
      </c>
    </row>
    <row r="47" spans="1:8">
      <c r="B47" s="33" t="s">
        <v>37</v>
      </c>
      <c r="C47" s="6" t="s">
        <v>112</v>
      </c>
      <c r="D47" s="6" t="s">
        <v>42</v>
      </c>
      <c r="E47" s="7" t="s">
        <v>27</v>
      </c>
      <c r="F47" s="98">
        <v>1</v>
      </c>
      <c r="G47" s="8"/>
      <c r="H47" s="9" t="s">
        <v>78</v>
      </c>
    </row>
    <row r="48" spans="1:8">
      <c r="B48" s="33" t="s">
        <v>37</v>
      </c>
      <c r="C48" s="6" t="s">
        <v>113</v>
      </c>
      <c r="D48" s="99" t="s">
        <v>42</v>
      </c>
      <c r="E48" s="100"/>
      <c r="F48" s="101"/>
      <c r="G48" s="100"/>
      <c r="H48" s="102" t="s">
        <v>78</v>
      </c>
    </row>
    <row r="49" spans="2:8">
      <c r="B49" s="33" t="s">
        <v>37</v>
      </c>
      <c r="C49" s="6" t="s">
        <v>114</v>
      </c>
      <c r="D49" s="6" t="s">
        <v>43</v>
      </c>
      <c r="E49" s="7" t="s">
        <v>27</v>
      </c>
      <c r="F49" s="98">
        <v>1</v>
      </c>
      <c r="G49" s="8"/>
      <c r="H49" s="9" t="s">
        <v>78</v>
      </c>
    </row>
    <row r="50" spans="2:8">
      <c r="B50" s="33" t="s">
        <v>37</v>
      </c>
      <c r="C50" s="6" t="s">
        <v>115</v>
      </c>
      <c r="D50" s="6" t="s">
        <v>42</v>
      </c>
      <c r="E50" s="7" t="s">
        <v>27</v>
      </c>
      <c r="F50" s="98">
        <v>1</v>
      </c>
      <c r="G50" s="8"/>
      <c r="H50" s="9" t="s">
        <v>78</v>
      </c>
    </row>
    <row r="51" spans="2:8">
      <c r="B51" s="33" t="s">
        <v>37</v>
      </c>
      <c r="C51" s="6" t="s">
        <v>116</v>
      </c>
      <c r="D51" s="6" t="s">
        <v>42</v>
      </c>
      <c r="E51" s="7" t="s">
        <v>27</v>
      </c>
      <c r="F51" s="98">
        <v>1</v>
      </c>
      <c r="G51" s="8"/>
      <c r="H51" s="9" t="s">
        <v>78</v>
      </c>
    </row>
    <row r="52" spans="2:8">
      <c r="B52" s="34" t="s">
        <v>88</v>
      </c>
      <c r="C52" s="6" t="s">
        <v>89</v>
      </c>
      <c r="D52" s="6" t="s">
        <v>41</v>
      </c>
      <c r="E52" s="25" t="s">
        <v>26</v>
      </c>
      <c r="F52" s="25">
        <v>1</v>
      </c>
      <c r="G52" s="25">
        <v>1</v>
      </c>
      <c r="H52" s="9" t="s">
        <v>77</v>
      </c>
    </row>
    <row r="53" spans="2:8">
      <c r="B53" s="34" t="s">
        <v>88</v>
      </c>
      <c r="C53" s="6" t="s">
        <v>90</v>
      </c>
      <c r="D53" s="6" t="s">
        <v>41</v>
      </c>
      <c r="E53" s="25" t="s">
        <v>26</v>
      </c>
      <c r="F53" s="25">
        <v>1</v>
      </c>
      <c r="G53" s="25">
        <v>1</v>
      </c>
      <c r="H53" s="9" t="s">
        <v>77</v>
      </c>
    </row>
    <row r="54" spans="2:8">
      <c r="B54" s="34" t="s">
        <v>88</v>
      </c>
      <c r="C54" s="6" t="s">
        <v>91</v>
      </c>
      <c r="D54" s="6" t="s">
        <v>41</v>
      </c>
      <c r="E54" s="25" t="s">
        <v>26</v>
      </c>
      <c r="F54" s="25">
        <v>1</v>
      </c>
      <c r="G54" s="25">
        <v>1</v>
      </c>
      <c r="H54" s="9" t="s">
        <v>77</v>
      </c>
    </row>
    <row r="55" spans="2:8">
      <c r="B55" s="93" t="s">
        <v>88</v>
      </c>
      <c r="C55" s="13" t="s">
        <v>92</v>
      </c>
      <c r="D55" s="13" t="s">
        <v>41</v>
      </c>
      <c r="E55" s="95" t="s">
        <v>26</v>
      </c>
      <c r="F55" s="95">
        <v>1</v>
      </c>
      <c r="G55" s="14"/>
      <c r="H55" s="94" t="s">
        <v>78</v>
      </c>
    </row>
    <row r="56" spans="2:8">
      <c r="B56" s="34" t="s">
        <v>88</v>
      </c>
      <c r="C56" s="6" t="s">
        <v>93</v>
      </c>
      <c r="D56" s="6" t="s">
        <v>41</v>
      </c>
      <c r="E56" s="25" t="s">
        <v>26</v>
      </c>
      <c r="F56" s="40">
        <v>2</v>
      </c>
      <c r="G56" s="8"/>
      <c r="H56" s="9" t="s">
        <v>78</v>
      </c>
    </row>
    <row r="57" spans="2:8">
      <c r="B57" s="31"/>
      <c r="C57" s="30"/>
      <c r="D57" s="30"/>
      <c r="E57" s="32"/>
      <c r="F57" s="30"/>
      <c r="G57" s="30"/>
      <c r="H57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-2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15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34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39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46219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35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106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26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C27" sqref="C2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5B79-2913-4153-8878-67542F5BF827}">
  <dimension ref="B2:B19"/>
  <sheetViews>
    <sheetView tabSelected="1" workbookViewId="0">
      <selection activeCell="B19" sqref="B19"/>
    </sheetView>
  </sheetViews>
  <sheetFormatPr defaultRowHeight="18.75"/>
  <cols>
    <col min="2" max="2" width="75.25" bestFit="1" customWidth="1"/>
  </cols>
  <sheetData>
    <row r="2" spans="2:2">
      <c r="B2" t="s">
        <v>108</v>
      </c>
    </row>
    <row r="3" spans="2:2">
      <c r="B3" t="s">
        <v>100</v>
      </c>
    </row>
    <row r="4" spans="2:2">
      <c r="B4" t="s">
        <v>101</v>
      </c>
    </row>
    <row r="9" spans="2:2">
      <c r="B9" t="s">
        <v>102</v>
      </c>
    </row>
    <row r="10" spans="2:2">
      <c r="B10" t="s">
        <v>103</v>
      </c>
    </row>
    <row r="11" spans="2:2">
      <c r="B11" t="s">
        <v>104</v>
      </c>
    </row>
    <row r="12" spans="2:2">
      <c r="B12" t="s">
        <v>107</v>
      </c>
    </row>
    <row r="13" spans="2:2">
      <c r="B13" t="s">
        <v>105</v>
      </c>
    </row>
    <row r="14" spans="2:2">
      <c r="B14" t="s">
        <v>106</v>
      </c>
    </row>
    <row r="16" spans="2:2">
      <c r="B16" t="s">
        <v>109</v>
      </c>
    </row>
    <row r="17" spans="2:2">
      <c r="B17" t="s">
        <v>118</v>
      </c>
    </row>
    <row r="18" spans="2:2">
      <c r="B18" t="s">
        <v>119</v>
      </c>
    </row>
    <row r="19" spans="2:2" ht="37.5">
      <c r="B19" s="3" t="s">
        <v>120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クラス設計・概要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2026-07-16T09:29:31Z</dcterms:modified>
</cp:coreProperties>
</file>