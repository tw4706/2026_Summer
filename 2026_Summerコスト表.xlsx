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GitHub\2026_Summer\"/>
    </mc:Choice>
  </mc:AlternateContent>
  <xr:revisionPtr revIDLastSave="0" documentId="13_ncr:1_{5F6042B7-ED47-40A6-B7F2-49DFDCB4D84F}" xr6:coauthVersionLast="47" xr6:coauthVersionMax="47" xr10:uidLastSave="{00000000-0000-0000-0000-000000000000}"/>
  <bookViews>
    <workbookView xWindow="1170" yWindow="1170" windowWidth="21600" windowHeight="11295" activeTab="3" xr2:uid="{3C510CAE-AB3A-463F-A0D4-BBB49D2AE695}"/>
  </bookViews>
  <sheets>
    <sheet name="コスト表" sheetId="1" r:id="rId1"/>
    <sheet name="スケジュール" sheetId="3" r:id="rId2"/>
    <sheet name="クラス設計・概要" sheetId="2" r:id="rId3"/>
    <sheet name="memo"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5" i="3" l="1"/>
  <c r="L11" i="3"/>
  <c r="L4" i="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<sst xmlns="http://schemas.openxmlformats.org/spreadsheetml/2006/main" count="331" uniqueCount="126">
  <si>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</si>
  <si>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</si>
  <si>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</si>
  <si>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</si>
  <si>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</si>
  <si>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</si>
  <si>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</si>
  <si>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</si>
  <si>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</si>
  <si>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</si>
  <si>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</si>
  <si>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</si>
  <si>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</si>
  <si>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</si>
  <si>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</si>
  <si>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</si>
  <si>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</si>
  <si>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</si>
  <si>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</si>
  <si>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</si>
  <si>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</si>
  <si>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</si>
  <si>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</si>
  <si>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</si>
  <si>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</si>
  <si>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</si>
  <si>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</si>
  <si>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</si>
  <si>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</si>
  <si>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</si>
  <si>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</si>
  <si>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</si>
  <si>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</si>
  <si>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</si>
  <si>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</si>
  <si>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</si>
  <si>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</si>
  <si>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</si>
  <si>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</si>
  <si>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</si>
  <si>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</si>
  <si>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</si>
  <si>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</si>
  <si>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</si>
  <si>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</si>
  <si>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</si>
  <si>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</si>
  <si>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</si>
  <si>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</si>
  <si>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</si>
  <si>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</si>
  <si>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</si>
  <si>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</si>
  <si>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</si>
  <si>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</si>
  <si>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</si>
  <si>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</si>
  <si>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</si>
  <si>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</si>
  <si>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</si>
  <si>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</si>
  <si>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</si>
  <si>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</si>
  <si>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</si>
  <si>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</si>
  <si>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</si>
  <si>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</si>
  <si>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</si>
  <si>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</si>
  <si>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</si>
  <si>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</si>
  <si>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</si>
  <si>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</si>
  <si>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</si>
  <si>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</si>
  <si>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</si>
  <si>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</si>
  <si>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</si>
  <si>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</si>
  <si>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</si>
  <si>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</si>
  <si>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</si>
  <si>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</si>
  <si>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</si>
  <si>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</si>
  <si>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</si>
  <si>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</si>
  <si>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</si>
  <si>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</si>
  <si>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</si>
  <si>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</si>
  <si>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</si>
  <si>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</si>
  <si>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</si>
  <si>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</si>
  <si>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</si>
  <si>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</si>
  <si>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</si>
  <si>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</si>
  <si>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</si>
  <si>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</si>
  <si>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</si>
  <si>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</si>
  <si>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</si>
  <si>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</si>
  <si>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</si>
  <si>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</si>
  <si>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</si>
  <si>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</si>
  <si>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</si>
  <si>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</si>
  <si>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</si>
  <si>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</si>
  <si>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</si>
  <si>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</si>
  <si>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</si>
  <si>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</si>
  <si>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</si>
  <si>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</si>
  <si>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</si>
  <si>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</si>
  <si>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</si>
  <si>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</si>
  <si>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</si>
  <si>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</si>
  <si>
    <t>もう少し障害物を配置して敵が経路探索をしているようにする</t>
    <rPh sb="2" eb="3">
      <t>スコ</t>
    </rPh>
    <rPh sb="4" eb="7">
      <t>ショウガイブツ</t>
    </rPh>
    <rPh sb="8" eb="10">
      <t>ハイチ</t>
    </rPh>
    <rPh sb="12" eb="13">
      <t>テキ</t>
    </rPh>
    <rPh sb="14" eb="18">
      <t>ケイロタンサク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</si>
</sst>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9">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s>
  <cellStyleXfs count="1">
    <xf numFmtId="0" fontId="0" fillId="0" borderId="0">
      <alignment vertical="center"/>
    </xf>
  </cellStyleXfs>
  <cellXfs count="103">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topLeftCell="A33" workbookViewId="0">
      <selection activeCell="G35" sqref="G35"/>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26</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21</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c r="H25" s="9" t="s">
        <v>78</v>
      </c>
    </row>
    <row r="26" spans="2:12">
      <c r="B26" s="11" t="s">
        <v>65</v>
      </c>
      <c r="C26" s="6" t="s">
        <v>47</v>
      </c>
      <c r="D26" s="6" t="s">
        <v>41</v>
      </c>
      <c r="E26" s="25" t="s">
        <v>26</v>
      </c>
      <c r="F26" s="25">
        <v>1</v>
      </c>
      <c r="G26" s="25"/>
      <c r="H26" s="9" t="s">
        <v>78</v>
      </c>
    </row>
    <row r="27" spans="2:12">
      <c r="B27" s="11" t="s">
        <v>65</v>
      </c>
      <c r="C27" s="6" t="s">
        <v>50</v>
      </c>
      <c r="D27" s="6" t="s">
        <v>41</v>
      </c>
      <c r="E27" s="25" t="s">
        <v>26</v>
      </c>
      <c r="F27" s="25">
        <v>1</v>
      </c>
      <c r="G27" s="25"/>
      <c r="H27" s="9" t="s">
        <v>78</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8"/>
      <c r="H31" s="9" t="s">
        <v>78</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8"/>
      <c r="H41" s="9" t="s">
        <v>78</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8"/>
      <c r="H44" s="9" t="s">
        <v>78</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14"/>
      <c r="H55" s="93" t="s">
        <v>78</v>
      </c>
    </row>
    <row r="56" spans="2:8">
      <c r="B56" s="34" t="s">
        <v>88</v>
      </c>
      <c r="C56" s="6" t="s">
        <v>93</v>
      </c>
      <c r="D56" s="6" t="s">
        <v>41</v>
      </c>
      <c r="E56" s="25" t="s">
        <v>26</v>
      </c>
      <c r="F56" s="40">
        <v>2</v>
      </c>
      <c r="G56" s="8"/>
      <c r="H56" s="9" t="s">
        <v>78</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workbookViewId="0">
      <selection activeCell="L15" sqref="L15"/>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-8</v>
      </c>
    </row>
    <row r="6" spans="3:13">
      <c r="C6" s="80">
        <v>7</v>
      </c>
      <c r="D6" s="53">
        <v>8</v>
      </c>
      <c r="E6" s="53">
        <v>9</v>
      </c>
      <c r="F6" s="53">
        <v>10</v>
      </c>
      <c r="G6" s="54">
        <v>11</v>
      </c>
      <c r="H6" s="54">
        <v>12</v>
      </c>
      <c r="I6" s="70">
        <v>13</v>
      </c>
      <c r="K6" s="85" t="s">
        <v>26</v>
      </c>
      <c r="L6" s="84">
        <v>46238</v>
      </c>
      <c r="M6" s="2">
        <f ca="1">_xlfn.DAYS(L6,TODAY())</f>
        <v>13</v>
      </c>
    </row>
    <row r="7" spans="3:13">
      <c r="C7" s="69">
        <v>14</v>
      </c>
      <c r="D7" s="54">
        <v>15</v>
      </c>
      <c r="E7" s="54">
        <v>16</v>
      </c>
      <c r="F7" s="54">
        <v>17</v>
      </c>
      <c r="G7" s="54">
        <v>18</v>
      </c>
      <c r="H7" s="54">
        <v>19</v>
      </c>
      <c r="I7" s="70">
        <v>20</v>
      </c>
      <c r="K7" s="86" t="s">
        <v>27</v>
      </c>
      <c r="L7" s="84">
        <v>46253</v>
      </c>
      <c r="M7" s="2">
        <f ca="1">_xlfn.DAYS(L7,TODAY())</f>
        <v>28</v>
      </c>
    </row>
    <row r="8" spans="3:13">
      <c r="C8" s="69">
        <v>21</v>
      </c>
      <c r="D8" s="54">
        <v>22</v>
      </c>
      <c r="E8" s="54">
        <v>23</v>
      </c>
      <c r="F8" s="54">
        <v>24</v>
      </c>
      <c r="G8" s="54">
        <v>25</v>
      </c>
      <c r="H8" s="54">
        <v>26</v>
      </c>
      <c r="I8" s="70">
        <v>27</v>
      </c>
      <c r="K8" s="87" t="s">
        <v>28</v>
      </c>
      <c r="L8" s="84">
        <v>46258</v>
      </c>
      <c r="M8" s="2">
        <f ca="1">_xlfn.DAYS(L8,TODAY())</f>
        <v>33</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46225</v>
      </c>
    </row>
    <row r="13" spans="3:13">
      <c r="C13" s="69">
        <v>5</v>
      </c>
      <c r="D13" s="54">
        <v>6</v>
      </c>
      <c r="E13" s="54">
        <v>7</v>
      </c>
      <c r="F13" s="54">
        <v>8</v>
      </c>
      <c r="G13" s="54">
        <v>9</v>
      </c>
      <c r="H13" s="54">
        <v>10</v>
      </c>
      <c r="I13" s="70">
        <v>11</v>
      </c>
      <c r="K13" s="2" t="s">
        <v>85</v>
      </c>
      <c r="L13" s="2">
        <f ca="1">_xlfn.DAYS(L12,L11)</f>
        <v>41</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80</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B25"/>
  <sheetViews>
    <sheetView tabSelected="1" topLeftCell="A18" workbookViewId="0">
      <selection activeCell="B25" sqref="B25"/>
    </sheetView>
  </sheetViews>
  <sheetFormatPr defaultRowHeight="18.75"/>
  <cols>
    <col min="2" max="2" width="75.25" bestFit="1" customWidth="1"/>
  </cols>
  <sheetData>
    <row r="2" spans="2:2">
      <c r="B2" t="s">
        <v>108</v>
      </c>
    </row>
    <row r="3" spans="2:2">
      <c r="B3" t="s">
        <v>100</v>
      </c>
    </row>
    <row r="4" spans="2:2">
      <c r="B4" t="s">
        <v>101</v>
      </c>
    </row>
    <row r="9" spans="2:2">
      <c r="B9" t="s">
        <v>102</v>
      </c>
    </row>
    <row r="10" spans="2:2">
      <c r="B10" t="s">
        <v>103</v>
      </c>
    </row>
    <row r="11" spans="2:2">
      <c r="B11" t="s">
        <v>104</v>
      </c>
    </row>
    <row r="12" spans="2:2">
      <c r="B12" t="s">
        <v>107</v>
      </c>
    </row>
    <row r="13" spans="2:2">
      <c r="B13" t="s">
        <v>105</v>
      </c>
    </row>
    <row r="14" spans="2:2">
      <c r="B14" t="s">
        <v>106</v>
      </c>
    </row>
    <row r="16" spans="2:2">
      <c r="B16" t="s">
        <v>109</v>
      </c>
    </row>
    <row r="17" spans="2:2">
      <c r="B17" t="s">
        <v>118</v>
      </c>
    </row>
    <row r="18" spans="2:2">
      <c r="B18" t="s">
        <v>119</v>
      </c>
    </row>
    <row r="19" spans="2:2" ht="37.5">
      <c r="B19" s="3" t="s">
        <v>120</v>
      </c>
    </row>
    <row r="21" spans="2:2">
      <c r="B21" t="s">
        <v>121</v>
      </c>
    </row>
    <row r="22" spans="2:2">
      <c r="B22" t="s">
        <v>122</v>
      </c>
    </row>
    <row r="23" spans="2:2">
      <c r="B23" t="s">
        <v>123</v>
      </c>
    </row>
    <row r="24" spans="2:2">
      <c r="B24" t="s">
        <v>124</v>
      </c>
    </row>
    <row r="25" spans="2:2">
      <c r="B25" t="s">
        <v>125</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大崎　永遠</cp:lastModifiedBy>
  <dcterms:created xsi:type="dcterms:W3CDTF">2026-06-10T00:51:26Z</dcterms:created>
  <dcterms:modified xsi:type="dcterms:W3CDTF">2026-07-22T09:50:37Z</dcterms:modified>
</cp:coreProperties>
</file>