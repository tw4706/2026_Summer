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76107BF5-6A51-48C1-B37D-0048EA3D86C4}" xr6:coauthVersionLast="47" xr6:coauthVersionMax="47" xr10:uidLastSave="{00000000-0000-0000-0000-000000000000}"/>
  <bookViews>
    <workbookView xWindow="-225" yWindow="-16320" windowWidth="29040" windowHeight="15720" xr2:uid="{3C510CAE-AB3A-463F-A0D4-BBB49D2AE695}"/>
  </bookViews>
  <sheets>
    <sheet name="コスト表" sheetId="1" r:id="rId1"/>
    <sheet name="スケジュール" sheetId="3" r:id="rId2"/>
    <sheet name="クラス設計・概要" sheetId="2" r:id="rId3"/>
    <sheet name="mem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<sst xmlns="http://schemas.openxmlformats.org/spreadsheetml/2006/main" count="325" uniqueCount="120">
  <si>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</si>
  <si>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</si>
  <si>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</si>
  <si>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</si>
  <si>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</si>
  <si>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</si>
  <si>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</si>
  <si>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</si>
  <si>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</si>
  <si>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</si>
  <si>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</si>
  <si>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</si>
  <si>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</si>
  <si>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</si>
  <si>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</si>
  <si>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</si>
  <si>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</si>
  <si>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</si>
  <si>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</si>
  <si>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</si>
  <si>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</si>
  <si>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</si>
  <si>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</si>
  <si>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</si>
  <si>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</si>
  <si>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</si>
  <si>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</si>
  <si>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</si>
  <si>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</si>
  <si>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</si>
  <si>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</si>
  <si>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</si>
  <si>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</si>
  <si>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</si>
  <si>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</si>
  <si>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</si>
  <si>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</si>
  <si>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</si>
  <si>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</si>
  <si>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</si>
  <si>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</si>
  <si>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</si>
  <si>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</si>
  <si>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</si>
  <si>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</si>
  <si>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</si>
  <si>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</si>
  <si>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</si>
  <si>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</si>
  <si>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</si>
  <si>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</si>
  <si>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</si>
  <si>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</si>
  <si>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</si>
  <si>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</si>
  <si>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</si>
  <si>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</si>
  <si>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</si>
  <si>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</si>
  <si>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</si>
  <si>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</si>
  <si>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</si>
  <si>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</si>
  <si>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</si>
  <si>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</si>
  <si>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</si>
  <si>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</si>
  <si>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</si>
  <si>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</si>
  <si>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</si>
  <si>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</si>
  <si>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</si>
  <si>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</si>
  <si>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</si>
  <si>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</si>
  <si>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</si>
  <si>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</si>
  <si>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</si>
  <si>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</si>
  <si>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</si>
  <si>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</si>
  <si>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</si>
  <si>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</si>
  <si>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</si>
  <si>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</si>
  <si>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</si>
  <si>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</si>
  <si>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</si>
  <si>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</si>
  <si>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</si>
  <si>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</si>
  <si>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</si>
  <si>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</si>
  <si>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</si>
  <si>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</si>
  <si>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</si>
  <si>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</si>
  <si>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</si>
  <si>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</si>
  <si>
    <t>線分とポリゴンの当たり判定</t>
    <rPh sb="0" eb="2">
      <t>センブン</t>
    </rPh>
    <rPh sb="8" eb="9">
      <t>ア</t>
    </rPh>
    <rPh sb="11" eb="13">
      <t>ハンテイ</t>
    </rPh>
    <phoneticPr fontId="1"/>
  </si>
  <si>
    <t>・ボス前までの敵をすべて倒したらいったんリザルトに移行</t>
    <rPh sb="3" eb="4">
      <t>マエ</t>
    </rPh>
    <rPh sb="7" eb="8">
      <t>テキ</t>
    </rPh>
    <rPh sb="12" eb="13">
      <t>タオ</t>
    </rPh>
    <rPh sb="25" eb="27">
      <t>イコウ</t>
    </rPh>
    <phoneticPr fontId="1"/>
  </si>
  <si>
    <t>・敵の攻撃のステートマシンの仕様を固めて実装</t>
    <rPh sb="1" eb="2">
      <t>テキ</t>
    </rPh>
    <rPh sb="3" eb="5">
      <t>コウゲキ</t>
    </rPh>
    <rPh sb="14" eb="16">
      <t>シヨウ</t>
    </rPh>
    <rPh sb="17" eb="18">
      <t>カタ</t>
    </rPh>
    <rPh sb="20" eb="22">
      <t>ジッソウ</t>
    </rPh>
    <phoneticPr fontId="1"/>
  </si>
  <si>
    <t>敵の攻撃</t>
    <rPh sb="0" eb="1">
      <t>テキ</t>
    </rPh>
    <rPh sb="2" eb="4">
      <t>コウゲキ</t>
    </rPh>
    <phoneticPr fontId="1"/>
  </si>
  <si>
    <t>通常攻撃</t>
    <rPh sb="0" eb="4">
      <t>ツウジョウコウゲキ</t>
    </rPh>
    <phoneticPr fontId="1"/>
  </si>
  <si>
    <t>プレイヤーガードを何フレームか実行していたら</t>
    <rPh sb="9" eb="10">
      <t>ナン</t>
    </rPh>
    <rPh sb="15" eb="17">
      <t>ジッコウ</t>
    </rPh>
    <phoneticPr fontId="1"/>
  </si>
  <si>
    <t>プレイヤーが攻撃を続けていたら</t>
    <rPh sb="6" eb="8">
      <t>コウゲキ</t>
    </rPh>
    <rPh sb="9" eb="10">
      <t>ツヅ</t>
    </rPh>
    <phoneticPr fontId="1"/>
  </si>
  <si>
    <t>→敵がガード</t>
    <rPh sb="1" eb="2">
      <t>テキ</t>
    </rPh>
    <phoneticPr fontId="1"/>
  </si>
  <si>
    <t>→ジャンプ攻撃(ダメージを2倍とかにして、食らったらやばそうな雰囲気にする)</t>
    <rPh sb="5" eb="7">
      <t>コウゲキ</t>
    </rPh>
    <rPh sb="14" eb="15">
      <t>バイ</t>
    </rPh>
    <rPh sb="21" eb="22">
      <t>ク</t>
    </rPh>
    <rPh sb="31" eb="34">
      <t>フンイキ</t>
    </rPh>
    <phoneticPr fontId="1"/>
  </si>
  <si>
    <t>プロト終了までにやること</t>
    <rPh sb="3" eb="5">
      <t>シュウリョウ</t>
    </rPh>
    <phoneticPr fontId="1"/>
  </si>
  <si>
    <t>敵メモ</t>
    <rPh sb="0" eb="1">
      <t>テキ</t>
    </rPh>
    <phoneticPr fontId="1"/>
  </si>
  <si>
    <t>タイトル</t>
    <phoneticPr fontId="1"/>
  </si>
  <si>
    <t>→スタートボタン</t>
    <phoneticPr fontId="1"/>
  </si>
  <si>
    <t>→ゲーム終了ボタン</t>
    <phoneticPr fontId="1"/>
  </si>
  <si>
    <t>リザルト</t>
    <phoneticPr fontId="1"/>
  </si>
  <si>
    <t>→スコア表示</t>
    <rPh sb="4" eb="6">
      <t>ヒョウジ</t>
    </rPh>
    <phoneticPr fontId="1"/>
  </si>
  <si>
    <t>→リスタートボタン</t>
    <phoneticPr fontId="1"/>
  </si>
  <si>
    <t>→タイトルに戻るボタン</t>
    <phoneticPr fontId="1"/>
  </si>
  <si>
    <t>UIマネージャー実装</t>
    <rPh sb="8" eb="10">
      <t>ジッソウ</t>
    </rPh>
    <phoneticPr fontId="1"/>
  </si>
  <si>
    <t>強攻撃はプレイヤーのシールドをはがすとかでもいいかも</t>
    <rPh sb="0" eb="3">
      <t>キョウコウゲキ</t>
    </rPh>
    <phoneticPr fontId="1"/>
  </si>
  <si>
    <t>そしたらいろんなパターンでの攻略ができる</t>
    <rPh sb="14" eb="16">
      <t>コウリャク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</si>
</sst>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  <xf numFmtId="0" fontId="5" fillId="0" borderId="0" xfId="0" applyFont="1" applyBorder="1">
      <alignment vertical="center"/>
    </xf>
    <xf numFmtId="0" fontId="6" fillId="13" borderId="16" xfId="0" applyFont="1" applyFill="1" applyBorder="1">
      <alignment vertical="center"/>
    </xf>
    <xf numFmtId="0" fontId="0" fillId="20" borderId="13" xfId="0" applyFill="1" applyBorder="1">
      <alignment vertical="center"/>
    </xf>
    <xf numFmtId="0" fontId="3" fillId="20" borderId="13" xfId="0" applyFont="1" applyFill="1" applyBorder="1">
      <alignment vertical="center"/>
    </xf>
    <xf numFmtId="0" fontId="3" fillId="20" borderId="16" xfId="0" applyFont="1" applyFill="1" applyBorder="1">
      <alignment vertical="center"/>
    </xf>
    <xf numFmtId="0" fontId="0" fillId="20" borderId="14" xfId="0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56" totalsRowShown="0" headerRowDxfId="12" dataDxfId="10" headerRowBorderDxfId="11" tableBorderDxfId="9" totalsRowBorderDxfId="8">
  <autoFilter ref="B3:H56" xr:uid="{935F7255-1AB1-4CF6-B090-10E22EB9181F}"/>
  <sortState xmlns:xlrd2="http://schemas.microsoft.com/office/spreadsheetml/2017/richdata2" ref="B4:H38">
    <sortCondition sortBy="fontColor" ref="F3:F38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57"/>
  <sheetViews>
    <sheetView tabSelected="1" topLeftCell="A15" workbookViewId="0">
      <selection activeCell="L29" sqref="L29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106</v>
      </c>
      <c r="L4" s="41">
        <f>SUMIF(テーブル1[ステータス],"未完了",テーブル1[想定コスト])</f>
        <v>26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66</v>
      </c>
      <c r="L5" s="42">
        <f>SUMIFS(テーブル1[想定コスト],テーブル1[バージョン],J5,テーブル1[ステータス],"未完了")</f>
        <v>0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35</v>
      </c>
      <c r="L6" s="43">
        <f>SUMIFS(テーブル1[想定コスト],テーブル1[バージョン],J6,テーブル1[ステータス],"未完了")</f>
        <v>21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5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>
      <c r="B9" s="5" t="s">
        <v>35</v>
      </c>
      <c r="C9" s="6" t="s">
        <v>99</v>
      </c>
      <c r="D9" s="6" t="s">
        <v>41</v>
      </c>
      <c r="E9" s="7" t="s">
        <v>25</v>
      </c>
      <c r="F9" s="25">
        <v>3</v>
      </c>
      <c r="G9" s="25">
        <v>3</v>
      </c>
      <c r="H9" s="9" t="s">
        <v>77</v>
      </c>
    </row>
    <row r="10" spans="2:13" ht="19.5" thickBot="1">
      <c r="B10" s="5" t="s">
        <v>35</v>
      </c>
      <c r="C10" s="6" t="s">
        <v>95</v>
      </c>
      <c r="D10" s="6" t="s">
        <v>41</v>
      </c>
      <c r="E10" s="25" t="s">
        <v>25</v>
      </c>
      <c r="F10" s="95">
        <v>3</v>
      </c>
      <c r="G10" s="25">
        <v>3</v>
      </c>
      <c r="H10" s="39" t="s">
        <v>77</v>
      </c>
    </row>
    <row r="11" spans="2:13">
      <c r="B11" s="10" t="s">
        <v>0</v>
      </c>
      <c r="C11" s="6" t="s">
        <v>46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1"/>
    </row>
    <row r="12" spans="2:13">
      <c r="B12" s="10" t="s">
        <v>0</v>
      </c>
      <c r="C12" s="6" t="s">
        <v>51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47</v>
      </c>
      <c r="D13" s="6" t="s">
        <v>41</v>
      </c>
      <c r="E13" s="25" t="s">
        <v>25</v>
      </c>
      <c r="F13" s="25">
        <v>1</v>
      </c>
      <c r="G13" s="25">
        <v>1</v>
      </c>
      <c r="H13" s="9" t="s">
        <v>77</v>
      </c>
    </row>
    <row r="14" spans="2:13">
      <c r="B14" s="10" t="s">
        <v>0</v>
      </c>
      <c r="C14" s="6" t="s">
        <v>49</v>
      </c>
      <c r="D14" s="6" t="s">
        <v>42</v>
      </c>
      <c r="E14" s="25" t="s">
        <v>25</v>
      </c>
      <c r="F14" s="25">
        <v>1</v>
      </c>
      <c r="G14" s="25">
        <v>1</v>
      </c>
      <c r="H14" s="9" t="s">
        <v>77</v>
      </c>
    </row>
    <row r="15" spans="2:13">
      <c r="B15" s="10" t="s">
        <v>0</v>
      </c>
      <c r="C15" s="6" t="s">
        <v>48</v>
      </c>
      <c r="D15" s="6" t="s">
        <v>41</v>
      </c>
      <c r="E15" s="25" t="s">
        <v>25</v>
      </c>
      <c r="F15" s="25">
        <v>1</v>
      </c>
      <c r="G15" s="25">
        <v>1</v>
      </c>
      <c r="H15" s="9" t="s">
        <v>77</v>
      </c>
    </row>
    <row r="16" spans="2:13">
      <c r="B16" s="10" t="s">
        <v>0</v>
      </c>
      <c r="C16" s="6" t="s">
        <v>52</v>
      </c>
      <c r="D16" s="6" t="s">
        <v>41</v>
      </c>
      <c r="E16" s="25" t="s">
        <v>25</v>
      </c>
      <c r="F16" s="25">
        <v>1</v>
      </c>
      <c r="G16" s="25">
        <v>0.5</v>
      </c>
      <c r="H16" s="9" t="s">
        <v>77</v>
      </c>
    </row>
    <row r="17" spans="2:12">
      <c r="B17" s="10" t="s">
        <v>0</v>
      </c>
      <c r="C17" s="6" t="s">
        <v>50</v>
      </c>
      <c r="D17" s="6" t="s">
        <v>41</v>
      </c>
      <c r="E17" s="25" t="s">
        <v>25</v>
      </c>
      <c r="F17" s="25">
        <v>1</v>
      </c>
      <c r="G17" s="25">
        <v>0.5</v>
      </c>
      <c r="H17" s="9" t="s">
        <v>77</v>
      </c>
    </row>
    <row r="18" spans="2:12">
      <c r="B18" s="10" t="s">
        <v>0</v>
      </c>
      <c r="C18" s="6" t="s">
        <v>53</v>
      </c>
      <c r="D18" s="6" t="s">
        <v>42</v>
      </c>
      <c r="E18" s="25" t="s">
        <v>26</v>
      </c>
      <c r="F18" s="25">
        <v>3</v>
      </c>
      <c r="G18" s="25">
        <v>3</v>
      </c>
      <c r="H18" s="9" t="s">
        <v>77</v>
      </c>
    </row>
    <row r="19" spans="2:12">
      <c r="B19" s="11" t="s">
        <v>54</v>
      </c>
      <c r="C19" s="6" t="s">
        <v>46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47</v>
      </c>
      <c r="D20" s="6" t="s">
        <v>41</v>
      </c>
      <c r="E20" s="25" t="s">
        <v>25</v>
      </c>
      <c r="F20" s="25">
        <v>1</v>
      </c>
      <c r="G20" s="25">
        <v>1</v>
      </c>
      <c r="H20" s="9" t="s">
        <v>77</v>
      </c>
    </row>
    <row r="21" spans="2:12">
      <c r="B21" s="11" t="s">
        <v>54</v>
      </c>
      <c r="C21" s="6" t="s">
        <v>50</v>
      </c>
      <c r="D21" s="6" t="s">
        <v>41</v>
      </c>
      <c r="E21" s="25" t="s">
        <v>26</v>
      </c>
      <c r="F21" s="25">
        <v>1</v>
      </c>
      <c r="G21" s="25">
        <v>1</v>
      </c>
      <c r="H21" s="9" t="s">
        <v>77</v>
      </c>
    </row>
    <row r="22" spans="2:12">
      <c r="B22" s="11" t="s">
        <v>55</v>
      </c>
      <c r="C22" s="6" t="s">
        <v>46</v>
      </c>
      <c r="D22" s="6" t="s">
        <v>41</v>
      </c>
      <c r="E22" s="25" t="s">
        <v>25</v>
      </c>
      <c r="F22" s="25">
        <v>1</v>
      </c>
      <c r="G22" s="25">
        <v>1</v>
      </c>
      <c r="H22" s="9" t="s">
        <v>77</v>
      </c>
    </row>
    <row r="23" spans="2:12">
      <c r="B23" s="11" t="s">
        <v>55</v>
      </c>
      <c r="C23" s="6" t="s">
        <v>47</v>
      </c>
      <c r="D23" s="6" t="s">
        <v>41</v>
      </c>
      <c r="E23" s="25" t="s">
        <v>25</v>
      </c>
      <c r="F23" s="25">
        <v>1</v>
      </c>
      <c r="G23" s="25">
        <v>1</v>
      </c>
      <c r="H23" s="9" t="s">
        <v>77</v>
      </c>
    </row>
    <row r="24" spans="2:12">
      <c r="B24" s="11" t="s">
        <v>55</v>
      </c>
      <c r="C24" s="6" t="s">
        <v>50</v>
      </c>
      <c r="D24" s="6" t="s">
        <v>41</v>
      </c>
      <c r="E24" s="25" t="s">
        <v>26</v>
      </c>
      <c r="F24" s="25">
        <v>1</v>
      </c>
      <c r="G24" s="25">
        <v>1</v>
      </c>
      <c r="H24" s="9" t="s">
        <v>77</v>
      </c>
    </row>
    <row r="25" spans="2:12">
      <c r="B25" s="11" t="s">
        <v>65</v>
      </c>
      <c r="C25" s="6" t="s">
        <v>46</v>
      </c>
      <c r="D25" s="6" t="s">
        <v>41</v>
      </c>
      <c r="E25" s="25" t="s">
        <v>26</v>
      </c>
      <c r="F25" s="25">
        <v>1</v>
      </c>
      <c r="G25" s="25">
        <v>1</v>
      </c>
      <c r="H25" s="9" t="s">
        <v>78</v>
      </c>
    </row>
    <row r="26" spans="2:12">
      <c r="B26" s="11" t="s">
        <v>65</v>
      </c>
      <c r="C26" s="6" t="s">
        <v>47</v>
      </c>
      <c r="D26" s="6" t="s">
        <v>41</v>
      </c>
      <c r="E26" s="25" t="s">
        <v>26</v>
      </c>
      <c r="F26" s="25">
        <v>1</v>
      </c>
      <c r="G26" s="25">
        <v>1</v>
      </c>
      <c r="H26" s="9" t="s">
        <v>78</v>
      </c>
    </row>
    <row r="27" spans="2:12">
      <c r="B27" s="11" t="s">
        <v>65</v>
      </c>
      <c r="C27" s="6" t="s">
        <v>50</v>
      </c>
      <c r="D27" s="6" t="s">
        <v>41</v>
      </c>
      <c r="E27" s="25" t="s">
        <v>26</v>
      </c>
      <c r="F27" s="25">
        <v>1</v>
      </c>
      <c r="G27" s="25">
        <v>1</v>
      </c>
      <c r="H27" s="9" t="s">
        <v>78</v>
      </c>
    </row>
    <row r="28" spans="2:12">
      <c r="B28" s="11" t="s">
        <v>62</v>
      </c>
      <c r="C28" s="6" t="s">
        <v>98</v>
      </c>
      <c r="D28" s="6" t="s">
        <v>41</v>
      </c>
      <c r="E28" s="25" t="s">
        <v>25</v>
      </c>
      <c r="F28" s="95">
        <v>8</v>
      </c>
      <c r="G28" s="25">
        <v>10</v>
      </c>
      <c r="H28" s="9" t="s">
        <v>77</v>
      </c>
    </row>
    <row r="29" spans="2:12">
      <c r="B29" s="11" t="s">
        <v>62</v>
      </c>
      <c r="C29" s="6" t="s">
        <v>75</v>
      </c>
      <c r="D29" s="6" t="s">
        <v>41</v>
      </c>
      <c r="E29" s="25" t="s">
        <v>25</v>
      </c>
      <c r="F29" s="25">
        <v>5</v>
      </c>
      <c r="G29" s="25">
        <v>8</v>
      </c>
      <c r="H29" s="9" t="s">
        <v>77</v>
      </c>
    </row>
    <row r="30" spans="2:12">
      <c r="B30" s="12" t="s">
        <v>36</v>
      </c>
      <c r="C30" s="6" t="s">
        <v>94</v>
      </c>
      <c r="D30" s="6" t="s">
        <v>41</v>
      </c>
      <c r="E30" s="25" t="s">
        <v>25</v>
      </c>
      <c r="F30" s="25">
        <v>2</v>
      </c>
      <c r="G30" s="25">
        <v>1</v>
      </c>
      <c r="H30" s="9" t="s">
        <v>77</v>
      </c>
      <c r="L30" s="28"/>
    </row>
    <row r="31" spans="2:12">
      <c r="B31" s="12" t="s">
        <v>36</v>
      </c>
      <c r="C31" s="6" t="s">
        <v>56</v>
      </c>
      <c r="D31" s="6" t="s">
        <v>41</v>
      </c>
      <c r="E31" s="25" t="s">
        <v>26</v>
      </c>
      <c r="F31" s="25">
        <v>5</v>
      </c>
      <c r="G31" s="8"/>
      <c r="H31" s="9" t="s">
        <v>78</v>
      </c>
    </row>
    <row r="32" spans="2:12">
      <c r="B32" s="24" t="s">
        <v>40</v>
      </c>
      <c r="C32" s="6" t="s">
        <v>57</v>
      </c>
      <c r="D32" s="6" t="s">
        <v>42</v>
      </c>
      <c r="E32" s="25" t="s">
        <v>25</v>
      </c>
      <c r="F32" s="25">
        <v>1</v>
      </c>
      <c r="G32" s="25">
        <v>1</v>
      </c>
      <c r="H32" s="9" t="s">
        <v>77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25">
        <v>1</v>
      </c>
      <c r="H33" s="9" t="s">
        <v>77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25">
        <v>1</v>
      </c>
      <c r="H34" s="9" t="s">
        <v>77</v>
      </c>
    </row>
    <row r="35" spans="1:8">
      <c r="B35" s="24" t="s">
        <v>40</v>
      </c>
      <c r="C35" s="6" t="s">
        <v>60</v>
      </c>
      <c r="D35" s="6" t="s">
        <v>43</v>
      </c>
      <c r="E35" s="25" t="s">
        <v>26</v>
      </c>
      <c r="F35" s="25">
        <v>1</v>
      </c>
      <c r="G35" s="8"/>
      <c r="H35" s="9" t="s">
        <v>78</v>
      </c>
    </row>
    <row r="36" spans="1:8">
      <c r="B36" s="10" t="s">
        <v>66</v>
      </c>
      <c r="C36" s="6" t="s">
        <v>46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77</v>
      </c>
    </row>
    <row r="37" spans="1:8">
      <c r="B37" s="10" t="s">
        <v>66</v>
      </c>
      <c r="C37" s="6" t="s">
        <v>67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77</v>
      </c>
    </row>
    <row r="38" spans="1:8">
      <c r="A38" s="29"/>
      <c r="B38" s="10" t="s">
        <v>66</v>
      </c>
      <c r="C38" s="6" t="s">
        <v>73</v>
      </c>
      <c r="D38" s="6" t="s">
        <v>42</v>
      </c>
      <c r="E38" s="25" t="s">
        <v>26</v>
      </c>
      <c r="F38" s="25">
        <v>3</v>
      </c>
      <c r="G38" s="25">
        <v>5</v>
      </c>
      <c r="H38" s="9" t="s">
        <v>77</v>
      </c>
    </row>
    <row r="39" spans="1:8">
      <c r="A39" s="29"/>
      <c r="B39" s="10" t="s">
        <v>66</v>
      </c>
      <c r="C39" s="6" t="s">
        <v>74</v>
      </c>
      <c r="D39" s="6" t="s">
        <v>42</v>
      </c>
      <c r="E39" s="25" t="s">
        <v>26</v>
      </c>
      <c r="F39" s="25">
        <v>3</v>
      </c>
      <c r="G39" s="25">
        <v>5</v>
      </c>
      <c r="H39" s="9" t="s">
        <v>77</v>
      </c>
    </row>
    <row r="40" spans="1:8">
      <c r="B40" s="10" t="s">
        <v>66</v>
      </c>
      <c r="C40" s="6" t="s">
        <v>79</v>
      </c>
      <c r="D40" s="6" t="s">
        <v>41</v>
      </c>
      <c r="E40" s="25" t="s">
        <v>26</v>
      </c>
      <c r="F40" s="25">
        <v>3</v>
      </c>
      <c r="G40" s="8"/>
      <c r="H40" s="9" t="s">
        <v>78</v>
      </c>
    </row>
    <row r="41" spans="1:8">
      <c r="A41" s="92"/>
      <c r="B41" s="5" t="s">
        <v>38</v>
      </c>
      <c r="C41" s="6" t="s">
        <v>72</v>
      </c>
      <c r="D41" s="6" t="s">
        <v>41</v>
      </c>
      <c r="E41" s="25" t="s">
        <v>26</v>
      </c>
      <c r="F41" s="96">
        <v>2</v>
      </c>
      <c r="G41" s="8"/>
      <c r="H41" s="9" t="s">
        <v>78</v>
      </c>
    </row>
    <row r="42" spans="1:8">
      <c r="A42" s="92"/>
      <c r="B42" s="34" t="s">
        <v>39</v>
      </c>
      <c r="C42" s="6" t="s">
        <v>71</v>
      </c>
      <c r="D42" s="6" t="s">
        <v>41</v>
      </c>
      <c r="E42" s="25" t="s">
        <v>26</v>
      </c>
      <c r="F42" s="96">
        <v>2</v>
      </c>
      <c r="G42" s="8"/>
      <c r="H42" s="9" t="s">
        <v>78</v>
      </c>
    </row>
    <row r="43" spans="1:8">
      <c r="A43" s="97"/>
      <c r="B43" s="34"/>
      <c r="C43" s="6"/>
      <c r="D43" s="6"/>
      <c r="E43" s="8"/>
      <c r="F43" s="14"/>
      <c r="G43" s="8"/>
      <c r="H43" s="9"/>
    </row>
    <row r="44" spans="1:8">
      <c r="B44" s="33" t="s">
        <v>37</v>
      </c>
      <c r="C44" s="6" t="s">
        <v>117</v>
      </c>
      <c r="D44" s="6" t="s">
        <v>41</v>
      </c>
      <c r="E44" s="7" t="s">
        <v>26</v>
      </c>
      <c r="F44" s="96">
        <v>2</v>
      </c>
      <c r="G44" s="8"/>
      <c r="H44" s="9" t="s">
        <v>78</v>
      </c>
    </row>
    <row r="45" spans="1:8">
      <c r="B45" s="33" t="s">
        <v>37</v>
      </c>
      <c r="C45" s="6" t="s">
        <v>110</v>
      </c>
      <c r="D45" s="99"/>
      <c r="E45" s="100"/>
      <c r="F45" s="101"/>
      <c r="G45" s="100"/>
      <c r="H45" s="102"/>
    </row>
    <row r="46" spans="1:8">
      <c r="B46" s="33" t="s">
        <v>37</v>
      </c>
      <c r="C46" s="6" t="s">
        <v>111</v>
      </c>
      <c r="D46" s="6" t="s">
        <v>42</v>
      </c>
      <c r="E46" s="7" t="s">
        <v>27</v>
      </c>
      <c r="F46" s="98">
        <v>1</v>
      </c>
      <c r="G46" s="8"/>
      <c r="H46" s="9" t="s">
        <v>78</v>
      </c>
    </row>
    <row r="47" spans="1:8">
      <c r="B47" s="33" t="s">
        <v>37</v>
      </c>
      <c r="C47" s="6" t="s">
        <v>112</v>
      </c>
      <c r="D47" s="6" t="s">
        <v>42</v>
      </c>
      <c r="E47" s="7" t="s">
        <v>27</v>
      </c>
      <c r="F47" s="98">
        <v>1</v>
      </c>
      <c r="G47" s="8"/>
      <c r="H47" s="9" t="s">
        <v>78</v>
      </c>
    </row>
    <row r="48" spans="1:8">
      <c r="B48" s="33" t="s">
        <v>37</v>
      </c>
      <c r="C48" s="6" t="s">
        <v>113</v>
      </c>
      <c r="D48" s="99" t="s">
        <v>42</v>
      </c>
      <c r="E48" s="100"/>
      <c r="F48" s="101"/>
      <c r="G48" s="100"/>
      <c r="H48" s="102" t="s">
        <v>78</v>
      </c>
    </row>
    <row r="49" spans="2:8">
      <c r="B49" s="33" t="s">
        <v>37</v>
      </c>
      <c r="C49" s="6" t="s">
        <v>114</v>
      </c>
      <c r="D49" s="6" t="s">
        <v>43</v>
      </c>
      <c r="E49" s="7" t="s">
        <v>27</v>
      </c>
      <c r="F49" s="98">
        <v>1</v>
      </c>
      <c r="G49" s="8"/>
      <c r="H49" s="9" t="s">
        <v>78</v>
      </c>
    </row>
    <row r="50" spans="2:8">
      <c r="B50" s="33" t="s">
        <v>37</v>
      </c>
      <c r="C50" s="6" t="s">
        <v>115</v>
      </c>
      <c r="D50" s="6" t="s">
        <v>42</v>
      </c>
      <c r="E50" s="7" t="s">
        <v>27</v>
      </c>
      <c r="F50" s="98">
        <v>1</v>
      </c>
      <c r="G50" s="8"/>
      <c r="H50" s="9" t="s">
        <v>78</v>
      </c>
    </row>
    <row r="51" spans="2:8">
      <c r="B51" s="33" t="s">
        <v>37</v>
      </c>
      <c r="C51" s="6" t="s">
        <v>116</v>
      </c>
      <c r="D51" s="6" t="s">
        <v>42</v>
      </c>
      <c r="E51" s="7" t="s">
        <v>27</v>
      </c>
      <c r="F51" s="98">
        <v>1</v>
      </c>
      <c r="G51" s="8"/>
      <c r="H51" s="9" t="s">
        <v>78</v>
      </c>
    </row>
    <row r="52" spans="2:8">
      <c r="B52" s="34" t="s">
        <v>88</v>
      </c>
      <c r="C52" s="6" t="s">
        <v>89</v>
      </c>
      <c r="D52" s="6" t="s">
        <v>41</v>
      </c>
      <c r="E52" s="25" t="s">
        <v>26</v>
      </c>
      <c r="F52" s="25">
        <v>1</v>
      </c>
      <c r="G52" s="25">
        <v>1</v>
      </c>
      <c r="H52" s="9" t="s">
        <v>77</v>
      </c>
    </row>
    <row r="53" spans="2:8">
      <c r="B53" s="34" t="s">
        <v>88</v>
      </c>
      <c r="C53" s="6" t="s">
        <v>90</v>
      </c>
      <c r="D53" s="6" t="s">
        <v>41</v>
      </c>
      <c r="E53" s="25" t="s">
        <v>26</v>
      </c>
      <c r="F53" s="25">
        <v>1</v>
      </c>
      <c r="G53" s="25">
        <v>1</v>
      </c>
      <c r="H53" s="9" t="s">
        <v>77</v>
      </c>
    </row>
    <row r="54" spans="2:8">
      <c r="B54" s="34" t="s">
        <v>88</v>
      </c>
      <c r="C54" s="6" t="s">
        <v>91</v>
      </c>
      <c r="D54" s="6" t="s">
        <v>41</v>
      </c>
      <c r="E54" s="25" t="s">
        <v>26</v>
      </c>
      <c r="F54" s="25">
        <v>1</v>
      </c>
      <c r="G54" s="25">
        <v>1</v>
      </c>
      <c r="H54" s="9" t="s">
        <v>77</v>
      </c>
    </row>
    <row r="55" spans="2:8">
      <c r="B55" s="93" t="s">
        <v>88</v>
      </c>
      <c r="C55" s="13" t="s">
        <v>92</v>
      </c>
      <c r="D55" s="13" t="s">
        <v>41</v>
      </c>
      <c r="E55" s="95" t="s">
        <v>26</v>
      </c>
      <c r="F55" s="95">
        <v>1</v>
      </c>
      <c r="G55" s="14"/>
      <c r="H55" s="94" t="s">
        <v>78</v>
      </c>
    </row>
    <row r="56" spans="2:8">
      <c r="B56" s="34" t="s">
        <v>88</v>
      </c>
      <c r="C56" s="6" t="s">
        <v>93</v>
      </c>
      <c r="D56" s="6" t="s">
        <v>41</v>
      </c>
      <c r="E56" s="25" t="s">
        <v>26</v>
      </c>
      <c r="F56" s="40">
        <v>2</v>
      </c>
      <c r="G56" s="8"/>
      <c r="H56" s="9" t="s">
        <v>78</v>
      </c>
    </row>
    <row r="57" spans="2:8">
      <c r="B57" s="31"/>
      <c r="C57" s="30"/>
      <c r="D57" s="30"/>
      <c r="E57" s="32"/>
      <c r="F57" s="30"/>
      <c r="G57" s="30"/>
      <c r="H57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6" t="s">
        <v>16</v>
      </c>
      <c r="D4" s="77" t="s">
        <v>17</v>
      </c>
      <c r="E4" s="77" t="s">
        <v>18</v>
      </c>
      <c r="F4" s="77" t="s">
        <v>19</v>
      </c>
      <c r="G4" s="77" t="s">
        <v>20</v>
      </c>
      <c r="H4" s="77" t="s">
        <v>21</v>
      </c>
      <c r="I4" s="78" t="s">
        <v>22</v>
      </c>
      <c r="K4" s="2" t="s">
        <v>81</v>
      </c>
      <c r="L4" s="2"/>
      <c r="M4" s="2" t="s">
        <v>86</v>
      </c>
    </row>
    <row r="5" spans="3:13">
      <c r="C5" s="79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80">
        <v>6</v>
      </c>
      <c r="K5" s="84" t="s">
        <v>25</v>
      </c>
      <c r="L5" s="85">
        <v>46217</v>
      </c>
      <c r="M5" s="2">
        <f ca="1">_xlfn.DAYS(L5,TODAY())</f>
        <v>-1</v>
      </c>
    </row>
    <row r="6" spans="3:13">
      <c r="C6" s="81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1">
        <v>13</v>
      </c>
      <c r="K6" s="86" t="s">
        <v>26</v>
      </c>
      <c r="L6" s="85">
        <v>46234</v>
      </c>
      <c r="M6" s="2">
        <f ca="1">_xlfn.DAYS(L6,TODAY())</f>
        <v>16</v>
      </c>
    </row>
    <row r="7" spans="3:13">
      <c r="C7" s="70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1">
        <v>20</v>
      </c>
      <c r="K7" s="87" t="s">
        <v>27</v>
      </c>
      <c r="L7" s="85">
        <v>46253</v>
      </c>
      <c r="M7" s="2">
        <f ca="1">_xlfn.DAYS(L7,TODAY())</f>
        <v>35</v>
      </c>
    </row>
    <row r="8" spans="3:13">
      <c r="C8" s="70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1">
        <v>27</v>
      </c>
      <c r="K8" s="88" t="s">
        <v>28</v>
      </c>
      <c r="L8" s="85">
        <v>46258</v>
      </c>
      <c r="M8" s="2">
        <f ca="1">_xlfn.DAYS(L8,TODAY())</f>
        <v>40</v>
      </c>
    </row>
    <row r="9" spans="3:13" ht="19.5" thickBot="1">
      <c r="C9" s="82">
        <v>28</v>
      </c>
      <c r="D9" s="83">
        <v>29</v>
      </c>
      <c r="E9" s="83">
        <v>30</v>
      </c>
      <c r="F9" s="68"/>
      <c r="G9" s="68"/>
      <c r="H9" s="68"/>
      <c r="I9" s="69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9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9">
        <f ca="1">TODAY()</f>
        <v>46218</v>
      </c>
    </row>
    <row r="13" spans="3:13">
      <c r="C13" s="70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1">
        <v>11</v>
      </c>
      <c r="K13" s="2" t="s">
        <v>85</v>
      </c>
      <c r="L13" s="2">
        <f ca="1">_xlfn.DAYS(L12,L11)</f>
        <v>34</v>
      </c>
    </row>
    <row r="14" spans="3:13">
      <c r="C14" s="70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2">
        <v>18</v>
      </c>
      <c r="K14" s="2" t="s">
        <v>68</v>
      </c>
      <c r="L14" s="2">
        <f>コスト表!K4</f>
        <v>106</v>
      </c>
    </row>
    <row r="15" spans="3:13">
      <c r="C15" s="73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2">
        <v>25</v>
      </c>
      <c r="K15" s="2" t="s">
        <v>84</v>
      </c>
      <c r="L15" s="2">
        <f>コスト表!L4</f>
        <v>26</v>
      </c>
    </row>
    <row r="16" spans="3:13" ht="19.5" thickBot="1">
      <c r="C16" s="74">
        <v>26</v>
      </c>
      <c r="D16" s="75">
        <v>27</v>
      </c>
      <c r="E16" s="75">
        <v>28</v>
      </c>
      <c r="F16" s="75">
        <v>29</v>
      </c>
      <c r="G16" s="75">
        <v>30</v>
      </c>
      <c r="H16" s="75">
        <v>31</v>
      </c>
      <c r="I16" s="69"/>
      <c r="K16" s="2" t="s">
        <v>87</v>
      </c>
      <c r="L16" s="90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61">
        <v>1</v>
      </c>
    </row>
    <row r="20" spans="3:9">
      <c r="C20" s="62">
        <v>2</v>
      </c>
      <c r="D20" s="57">
        <v>3</v>
      </c>
      <c r="E20" s="57">
        <v>4</v>
      </c>
      <c r="F20" s="57">
        <v>5</v>
      </c>
      <c r="G20" s="57">
        <v>6</v>
      </c>
      <c r="H20" s="57">
        <v>7</v>
      </c>
      <c r="I20" s="63">
        <v>8</v>
      </c>
    </row>
    <row r="21" spans="3:9">
      <c r="C21" s="62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3">
        <v>15</v>
      </c>
    </row>
    <row r="22" spans="3:9">
      <c r="C22" s="62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4">
        <v>22</v>
      </c>
    </row>
    <row r="23" spans="3:9">
      <c r="C23" s="65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6">
        <v>29</v>
      </c>
    </row>
    <row r="24" spans="3:9" ht="19.5" thickBot="1">
      <c r="C24" s="67">
        <v>30</v>
      </c>
      <c r="D24" s="68">
        <v>31</v>
      </c>
      <c r="E24" s="68"/>
      <c r="F24" s="68"/>
      <c r="G24" s="68"/>
      <c r="H24" s="68"/>
      <c r="I24" s="69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85B79-2913-4153-8878-67542F5BF827}">
  <dimension ref="B2:B18"/>
  <sheetViews>
    <sheetView workbookViewId="0">
      <selection activeCell="B22" sqref="B22"/>
    </sheetView>
  </sheetViews>
  <sheetFormatPr defaultRowHeight="18.75"/>
  <cols>
    <col min="2" max="2" width="75.25" bestFit="1" customWidth="1"/>
  </cols>
  <sheetData>
    <row r="2" spans="2:2">
      <c r="B2" t="s">
        <v>108</v>
      </c>
    </row>
    <row r="3" spans="2:2">
      <c r="B3" t="s">
        <v>100</v>
      </c>
    </row>
    <row r="4" spans="2:2">
      <c r="B4" t="s">
        <v>101</v>
      </c>
    </row>
    <row r="9" spans="2:2">
      <c r="B9" t="s">
        <v>102</v>
      </c>
    </row>
    <row r="10" spans="2:2">
      <c r="B10" t="s">
        <v>103</v>
      </c>
    </row>
    <row r="11" spans="2:2">
      <c r="B11" t="s">
        <v>104</v>
      </c>
    </row>
    <row r="12" spans="2:2">
      <c r="B12" t="s">
        <v>107</v>
      </c>
    </row>
    <row r="13" spans="2:2">
      <c r="B13" t="s">
        <v>105</v>
      </c>
    </row>
    <row r="14" spans="2:2">
      <c r="B14" t="s">
        <v>106</v>
      </c>
    </row>
    <row r="16" spans="2:2">
      <c r="B16" t="s">
        <v>109</v>
      </c>
    </row>
    <row r="17" spans="2:2">
      <c r="B17" t="s">
        <v>118</v>
      </c>
    </row>
    <row r="18" spans="2:2">
      <c r="B18" t="s">
        <v>119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スケジュール</vt:lpstr>
      <vt:lpstr>クラス設計・概要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2026-07-15T05:46:08Z</dcterms:modified>
</cp:coreProperties>
</file>