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GitHub\2026_Summer\"/>
    </mc:Choice>
  </mc:AlternateContent>
  <xr:revisionPtr revIDLastSave="0" documentId="13_ncr:1_{94025AC5-0751-4D44-BBDF-610C4C1D5D91}" xr6:coauthVersionLast="47" xr6:coauthVersionMax="47" xr10:uidLastSave="{00000000-0000-0000-0000-000000000000}"/>
  <bookViews>
    <workbookView xWindow="-225" yWindow="-16320" windowWidth="29040" windowHeight="15720" activeTab="3" xr2:uid="{3C510CAE-AB3A-463F-A0D4-BBB49D2AE695}"/>
  </bookViews>
  <sheets>
    <sheet name="コスト表" sheetId="1" r:id="rId1"/>
    <sheet name="スケジュール" sheetId="3" r:id="rId2"/>
    <sheet name="クラス設計・概要" sheetId="2" r:id="rId3"/>
    <sheet name="memo"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1" i="3" l="1"/>
  <c r="L4" i="1"/>
  <c r="L15" i="3" s="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<sst xmlns="http://schemas.openxmlformats.org/spreadsheetml/2006/main" count="395" uniqueCount="172">
  <si>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</si>
  <si>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</si>
  <si>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</si>
  <si>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</si>
  <si>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</si>
  <si>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</si>
  <si>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</si>
  <si>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</si>
  <si>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</si>
  <si>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</si>
  <si>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</si>
  <si>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</si>
  <si>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</si>
  <si>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</si>
  <si>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</si>
  <si>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</si>
  <si>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</si>
  <si>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</si>
  <si>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</si>
  <si>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</si>
  <si>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</si>
  <si>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</si>
  <si>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</si>
  <si>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</si>
  <si>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</si>
  <si>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</si>
  <si>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</si>
  <si>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</si>
  <si>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</si>
  <si>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</si>
  <si>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</si>
  <si>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</si>
  <si>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</si>
  <si>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</si>
  <si>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</si>
  <si>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</si>
  <si>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</si>
  <si>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</si>
  <si>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</si>
  <si>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</si>
  <si>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</si>
  <si>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</si>
  <si>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</si>
  <si>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</si>
  <si>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</si>
  <si>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</si>
  <si>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</si>
  <si>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</si>
  <si>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</si>
  <si>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</si>
  <si>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</si>
  <si>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</si>
  <si>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</si>
  <si>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</si>
  <si>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</si>
  <si>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</si>
  <si>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</si>
  <si>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</si>
  <si>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</si>
  <si>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</si>
  <si>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</si>
  <si>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</si>
  <si>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</si>
  <si>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</si>
  <si>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</si>
  <si>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</si>
  <si>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</si>
  <si>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</si>
  <si>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</si>
  <si>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</si>
  <si>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</si>
  <si>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</si>
  <si>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</si>
  <si>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</si>
  <si>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</si>
  <si>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</si>
  <si>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</si>
  <si>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</si>
  <si>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</si>
  <si>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</si>
  <si>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</si>
  <si>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</si>
  <si>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</si>
  <si>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</si>
  <si>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</si>
  <si>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</si>
  <si>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</si>
  <si>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</si>
  <si>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</si>
  <si>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</si>
  <si>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</si>
  <si>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</si>
  <si>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</si>
  <si>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</si>
  <si>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</si>
  <si>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</si>
  <si>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</si>
  <si>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</si>
  <si>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</si>
  <si>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</si>
  <si>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</si>
  <si>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</si>
  <si>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</si>
  <si>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</si>
  <si>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</si>
  <si>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</si>
  <si>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</si>
  <si>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</si>
  <si>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</si>
  <si>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</si>
  <si>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</si>
  <si>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</si>
  <si>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</si>
  <si>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</si>
  <si>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</si>
  <si>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</si>
  <si>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</si>
  <si>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</si>
  <si>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</si>
  <si>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</si>
  <si>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</si>
  <si>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</si>
  <si>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</si>
  <si>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</si>
  <si>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</si>
  <si>
    <t>もう少し障害物を配置して敵が経路探索をしているようにする</t>
    <rPh sb="2" eb="3">
      <t>スコ</t>
    </rPh>
    <rPh sb="4" eb="7">
      <t>ショウガイブツ</t>
    </rPh>
    <rPh sb="8" eb="10">
      <t>ハイチ</t>
    </rPh>
    <rPh sb="12" eb="13">
      <t>テキ</t>
    </rPh>
    <rPh sb="14" eb="18">
      <t>ケイロタンサク</t>
    </rPh>
    <phoneticPr fontId="1"/>
  </si>
  <si>
    <t>敵の攻撃コライダーの有効・無効をもう少し理不尽なく実装</t>
    <rPh sb="0" eb="1">
      <t>テキ</t>
    </rPh>
    <rPh sb="13" eb="15">
      <t>ムコウ</t>
    </rPh>
    <rPh sb="18" eb="19">
      <t>スコ</t>
    </rPh>
    <rPh sb="20" eb="23">
      <t>リフジン</t>
    </rPh>
    <rPh sb="25" eb="27">
      <t>ジッソウリフジンナク</t>
    </rPh>
    <phoneticPr fontId="1"/>
  </si>
  <si>
    <t>敵の多重攻撃防止のためプレイヤーがダメージステートに入ったら無敵時間を追加</t>
    <rPh sb="0" eb="1">
      <t>テキ</t>
    </rPh>
    <rPh sb="2" eb="8">
      <t>タジュウコウゲキボウシ</t>
    </rPh>
    <rPh sb="26" eb="27">
      <t>ハイ</t>
    </rPh>
    <rPh sb="30" eb="34">
      <t>ムテキジカン</t>
    </rPh>
    <rPh sb="35" eb="37">
      <t>ツイカ</t>
    </rPh>
    <phoneticPr fontId="1"/>
  </si>
  <si>
    <t>K2さんに言われたアドバイス</t>
    <rPh sb="5" eb="6">
      <t>イ</t>
    </rPh>
    <phoneticPr fontId="1"/>
  </si>
  <si>
    <t>プレイヤーのコンボが欲しい</t>
    <rPh sb="10" eb="11">
      <t>ホ</t>
    </rPh>
    <phoneticPr fontId="1"/>
  </si>
  <si>
    <t>敵の攻撃判定が理不尽すぎる</t>
    <rPh sb="0" eb="1">
      <t>テキ</t>
    </rPh>
    <rPh sb="2" eb="6">
      <t>コウゲキハンテイ</t>
    </rPh>
    <rPh sb="7" eb="10">
      <t>リフジン</t>
    </rPh>
    <phoneticPr fontId="1"/>
  </si>
  <si>
    <t>ロックオンの時にプレイヤーがロックオン対象を向いていない</t>
    <rPh sb="6" eb="7">
      <t>トキ</t>
    </rPh>
    <rPh sb="19" eb="21">
      <t>タイショウ</t>
    </rPh>
    <rPh sb="22" eb="23">
      <t>ム</t>
    </rPh>
    <phoneticPr fontId="1"/>
  </si>
  <si>
    <t>一旦完了(ほかの人にプレイしてもらって随時修正する)</t>
    <rPh sb="0" eb="4">
      <t>イッタンカンリョウ</t>
    </rPh>
    <rPh sb="8" eb="9">
      <t>ヒト</t>
    </rPh>
    <rPh sb="19" eb="21">
      <t>ズイジ</t>
    </rPh>
    <rPh sb="21" eb="23">
      <t>シュウセイ</t>
    </rPh>
    <phoneticPr fontId="1"/>
  </si>
  <si>
    <t>8/5進捗報告アドバイス</t>
    <rPh sb="3" eb="7">
      <t>シンチョクホウコク</t>
    </rPh>
    <phoneticPr fontId="1"/>
  </si>
  <si>
    <t>もっとゲーム画面を凝ったほうがいい</t>
    <rPh sb="6" eb="8">
      <t>ガメン</t>
    </rPh>
    <rPh sb="9" eb="10">
      <t>コ</t>
    </rPh>
    <phoneticPr fontId="1"/>
  </si>
  <si>
    <t>タイトルとリザルトを少し軽実装にする</t>
    <rPh sb="10" eb="11">
      <t>スコ</t>
    </rPh>
    <rPh sb="12" eb="13">
      <t>ケイ</t>
    </rPh>
    <rPh sb="13" eb="15">
      <t>ジッソウ</t>
    </rPh>
    <phoneticPr fontId="1"/>
  </si>
  <si>
    <t>経路探索の良さがつぶれちゃっているからもっとよさを出したい</t>
    <rPh sb="0" eb="4">
      <t>ケイロタンサク</t>
    </rPh>
    <rPh sb="5" eb="6">
      <t>ヨ</t>
    </rPh>
    <rPh sb="25" eb="26">
      <t>ダ</t>
    </rPh>
    <phoneticPr fontId="1"/>
  </si>
  <si>
    <t>→ステージに段差をつけたりして高低差を設ける</t>
    <rPh sb="6" eb="8">
      <t>ダンサ</t>
    </rPh>
    <rPh sb="15" eb="18">
      <t>コウテイサ</t>
    </rPh>
    <rPh sb="19" eb="20">
      <t>モウ</t>
    </rPh>
    <phoneticPr fontId="1"/>
  </si>
  <si>
    <t>今日のアドバイスを通してベータまでにやるべき作業</t>
    <rPh sb="0" eb="2">
      <t>キョウ</t>
    </rPh>
    <rPh sb="9" eb="10">
      <t>トオ</t>
    </rPh>
    <rPh sb="22" eb="24">
      <t>サギョウ</t>
    </rPh>
    <phoneticPr fontId="1"/>
  </si>
  <si>
    <t>ボスの攻撃を1種類追加</t>
    <rPh sb="3" eb="5">
      <t>コウゲキ</t>
    </rPh>
    <rPh sb="7" eb="9">
      <t>シュルイ</t>
    </rPh>
    <rPh sb="9" eb="11">
      <t>ツイカ</t>
    </rPh>
    <phoneticPr fontId="1"/>
  </si>
  <si>
    <t>敵の経路探索しているのがわかるようなステージ構成にし、段差を飛び越えるような挙動を実装</t>
    <rPh sb="0" eb="1">
      <t>テキ</t>
    </rPh>
    <rPh sb="2" eb="6">
      <t>ケイロタンサク</t>
    </rPh>
    <rPh sb="22" eb="24">
      <t>コウセイ</t>
    </rPh>
    <rPh sb="27" eb="29">
      <t>ダンサ</t>
    </rPh>
    <rPh sb="30" eb="31">
      <t>ト</t>
    </rPh>
    <rPh sb="32" eb="33">
      <t>コ</t>
    </rPh>
    <rPh sb="38" eb="40">
      <t>キョドウ</t>
    </rPh>
    <rPh sb="41" eb="43">
      <t>ジッソウ</t>
    </rPh>
    <phoneticPr fontId="1"/>
  </si>
  <si>
    <t>ボスの演出用のカメラ</t>
    <rPh sb="3" eb="6">
      <t>エンシュツヨウ</t>
    </rPh>
    <phoneticPr fontId="1"/>
  </si>
  <si>
    <t>できればサウンドマネージャーの作成</t>
    <rPh sb="15" eb="17">
      <t>サクセイ</t>
    </rPh>
    <phoneticPr fontId="1"/>
  </si>
  <si>
    <t>→これをあと一週間で行う</t>
    <rPh sb="6" eb="9">
      <t>イッシュウカン</t>
    </rPh>
    <rPh sb="10" eb="11">
      <t>オコナ</t>
    </rPh>
    <phoneticPr fontId="1"/>
  </si>
  <si>
    <t>優先度</t>
    <rPh sb="0" eb="3">
      <t>ユウセンド</t>
    </rPh>
    <phoneticPr fontId="1"/>
  </si>
  <si>
    <t>SS</t>
    <phoneticPr fontId="1"/>
  </si>
  <si>
    <t>ステータス</t>
    <phoneticPr fontId="1"/>
  </si>
  <si>
    <t>ステージ構成と段差飛び越える挙動をやるのかどうか</t>
    <rPh sb="14" eb="16">
      <t>キョドウ</t>
    </rPh>
    <phoneticPr fontId="1"/>
  </si>
  <si>
    <t>→ステージ構成を見直し、段差を超える挙動を自分の技量で実装するかしないか決める</t>
    <rPh sb="5" eb="7">
      <t>コウセイ</t>
    </rPh>
    <rPh sb="8" eb="10">
      <t>ミナオ</t>
    </rPh>
    <rPh sb="12" eb="14">
      <t>ダンサ</t>
    </rPh>
    <rPh sb="15" eb="16">
      <t>コ</t>
    </rPh>
    <rPh sb="18" eb="20">
      <t>キョドウ</t>
    </rPh>
    <rPh sb="21" eb="23">
      <t>ジブン</t>
    </rPh>
    <rPh sb="24" eb="26">
      <t>ギリョウ</t>
    </rPh>
    <rPh sb="27" eb="29">
      <t>ジッソウ</t>
    </rPh>
    <rPh sb="36" eb="37">
      <t>キ</t>
    </rPh>
    <phoneticPr fontId="1"/>
  </si>
  <si>
    <t>今後やること</t>
    <rPh sb="0" eb="2">
      <t>コンゴ</t>
    </rPh>
    <phoneticPr fontId="1"/>
  </si>
  <si>
    <t>プレイヤーが死んだときにゲームオーバーではなく時間が0秒表示でランクSになっているのでシンプルにゲームオーバーだけ表示する</t>
    <rPh sb="6" eb="7">
      <t>シ</t>
    </rPh>
    <rPh sb="23" eb="25">
      <t>ジカン</t>
    </rPh>
    <rPh sb="27" eb="30">
      <t>ビョウヒョウジ</t>
    </rPh>
    <rPh sb="57" eb="59">
      <t>ヒョウジ</t>
    </rPh>
    <phoneticPr fontId="1"/>
  </si>
  <si>
    <t>敵の攻撃時に目元にエフェクトを出す</t>
    <rPh sb="0" eb="1">
      <t>テキ</t>
    </rPh>
    <rPh sb="2" eb="5">
      <t>コウゲキジ</t>
    </rPh>
    <rPh sb="6" eb="8">
      <t>メモト</t>
    </rPh>
    <rPh sb="15" eb="16">
      <t>ダ</t>
    </rPh>
    <phoneticPr fontId="1"/>
  </si>
  <si>
    <t>タイトルシーン・リザルトシーンの見た目の実装</t>
    <rPh sb="16" eb="17">
      <t>ミ</t>
    </rPh>
    <rPh sb="18" eb="19">
      <t>メ</t>
    </rPh>
    <rPh sb="20" eb="22">
      <t>ジッソウ</t>
    </rPh>
    <phoneticPr fontId="1"/>
  </si>
  <si>
    <t>プレイヤーのモーション</t>
    <phoneticPr fontId="1"/>
  </si>
  <si>
    <t>敵の攻撃エフェクト(でかい敵の範囲攻撃)</t>
    <rPh sb="0" eb="1">
      <t>テキ</t>
    </rPh>
    <rPh sb="2" eb="4">
      <t>コウゲキ</t>
    </rPh>
    <rPh sb="13" eb="14">
      <t>テキ</t>
    </rPh>
    <rPh sb="15" eb="19">
      <t>ハンイコウゲキ</t>
    </rPh>
    <phoneticPr fontId="1"/>
  </si>
  <si>
    <t>でかい敵の攻撃前エフェクトの位置調整</t>
    <rPh sb="3" eb="4">
      <t>テキ</t>
    </rPh>
    <rPh sb="5" eb="8">
      <t>コウゲキマエ</t>
    </rPh>
    <rPh sb="14" eb="18">
      <t>イチチョウセイ</t>
    </rPh>
    <phoneticPr fontId="1"/>
  </si>
  <si>
    <t>ダッシュ・回避距離を延ばす</t>
    <rPh sb="5" eb="9">
      <t>カイヒキョリ</t>
    </rPh>
    <rPh sb="10" eb="11">
      <t>ノ</t>
    </rPh>
    <phoneticPr fontId="1"/>
  </si>
  <si>
    <t>残り期間でやるべきこと</t>
    <rPh sb="0" eb="1">
      <t>ノコ</t>
    </rPh>
    <rPh sb="2" eb="4">
      <t>キカン</t>
    </rPh>
    <phoneticPr fontId="1"/>
  </si>
  <si>
    <t>ボスのエフェクト(突進攻撃・斬撃を飛ばす攻撃)</t>
    <rPh sb="9" eb="13">
      <t>トッシンコウゲキ</t>
    </rPh>
    <rPh sb="14" eb="16">
      <t>ザンゲキ</t>
    </rPh>
    <rPh sb="17" eb="18">
      <t>ト</t>
    </rPh>
    <rPh sb="20" eb="22">
      <t>コウゲキ</t>
    </rPh>
    <phoneticPr fontId="1"/>
  </si>
  <si>
    <t>ボスのSE(突進攻撃・斬撃を飛ばす攻撃)</t>
    <rPh sb="6" eb="10">
      <t>トッシンコウゲキ</t>
    </rPh>
    <rPh sb="11" eb="13">
      <t>ザンゲキ</t>
    </rPh>
    <rPh sb="14" eb="15">
      <t>ト</t>
    </rPh>
    <rPh sb="17" eb="19">
      <t>コウゲキ</t>
    </rPh>
    <phoneticPr fontId="1"/>
  </si>
  <si>
    <t>タイトルシーンにタイトル用ステージモデルを実装</t>
    <rPh sb="12" eb="13">
      <t>ヨウ</t>
    </rPh>
    <rPh sb="21" eb="23">
      <t>ジッソウ</t>
    </rPh>
    <phoneticPr fontId="1"/>
  </si>
  <si>
    <t>リザルトでフォントを変更し、クリアタイム・ランク・タイトルに戻るorリトライを実装</t>
    <rPh sb="10" eb="12">
      <t>ヘンコウ</t>
    </rPh>
    <rPh sb="30" eb="31">
      <t>モド</t>
    </rPh>
    <rPh sb="39" eb="41">
      <t>ジッソウ</t>
    </rPh>
    <phoneticPr fontId="1"/>
  </si>
  <si>
    <t>それだけだと寂しいので何か演出を追加</t>
    <rPh sb="6" eb="7">
      <t>サビ</t>
    </rPh>
    <rPh sb="11" eb="12">
      <t>ナニ</t>
    </rPh>
    <rPh sb="13" eb="15">
      <t>エンシュツ</t>
    </rPh>
    <rPh sb="16" eb="18">
      <t>ツイカ</t>
    </rPh>
    <phoneticPr fontId="1"/>
  </si>
  <si>
    <t>完了</t>
    <rPh sb="0" eb="2">
      <t>カンリョウ</t>
    </rPh>
    <phoneticPr fontId="1"/>
  </si>
  <si>
    <t>必要な音</t>
    <rPh sb="0" eb="2">
      <t>ヒツヨウ</t>
    </rPh>
    <rPh sb="3" eb="4">
      <t>オト</t>
    </rPh>
    <phoneticPr fontId="1"/>
  </si>
  <si>
    <t>敵の攻撃前の音</t>
    <rPh sb="0" eb="1">
      <t>テキ</t>
    </rPh>
    <rPh sb="2" eb="5">
      <t>コウゲキマエ</t>
    </rPh>
    <rPh sb="6" eb="7">
      <t>オト</t>
    </rPh>
    <phoneticPr fontId="1"/>
  </si>
  <si>
    <t>雑魚敵の攻撃音</t>
    <rPh sb="0" eb="3">
      <t>ザコテキ</t>
    </rPh>
    <rPh sb="4" eb="7">
      <t>コウゲキオン</t>
    </rPh>
    <phoneticPr fontId="1"/>
  </si>
  <si>
    <t>雑魚敵のジャンプ攻撃音</t>
    <rPh sb="0" eb="3">
      <t>ザコテキ</t>
    </rPh>
    <rPh sb="8" eb="11">
      <t>コウゲキオン</t>
    </rPh>
    <phoneticPr fontId="1"/>
  </si>
  <si>
    <t>タイトル演出のアドバイス</t>
    <rPh sb="4" eb="6">
      <t>エンシュツ</t>
    </rPh>
    <phoneticPr fontId="1"/>
  </si>
  <si>
    <t>最初歩行アニメーションで進んでその後に走りアニメーションに移行する</t>
    <rPh sb="0" eb="2">
      <t>サイショ</t>
    </rPh>
    <rPh sb="2" eb="4">
      <t>ホコウ</t>
    </rPh>
    <rPh sb="12" eb="13">
      <t>スス</t>
    </rPh>
    <rPh sb="17" eb="18">
      <t>アト</t>
    </rPh>
    <rPh sb="19" eb="20">
      <t>ハシ</t>
    </rPh>
    <rPh sb="29" eb="31">
      <t>イコウ</t>
    </rPh>
    <phoneticPr fontId="1"/>
  </si>
  <si>
    <t>タイトルロゴ表示後のUIが見にくいので対策をする(白くして裏に重ねたりする)</t>
    <rPh sb="6" eb="9">
      <t>ヒョウジゴ</t>
    </rPh>
    <rPh sb="13" eb="14">
      <t>ミ</t>
    </rPh>
    <rPh sb="19" eb="21">
      <t>タイサク</t>
    </rPh>
    <rPh sb="25" eb="26">
      <t>シロ</t>
    </rPh>
    <rPh sb="29" eb="30">
      <t>ウラ</t>
    </rPh>
    <rPh sb="31" eb="32">
      <t>カサ</t>
    </rPh>
    <phoneticPr fontId="1"/>
  </si>
  <si>
    <t>歩く距離と走る距離を延ばす</t>
    <rPh sb="0" eb="1">
      <t>アル</t>
    </rPh>
    <rPh sb="2" eb="4">
      <t>キョリ</t>
    </rPh>
    <rPh sb="5" eb="6">
      <t>ハシ</t>
    </rPh>
    <rPh sb="7" eb="9">
      <t>キョリ</t>
    </rPh>
    <rPh sb="10" eb="11">
      <t>ノ</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</si>
</sst>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10">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
      <b/>
      <sz val="11"/>
      <color theme="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1">
    <xf numFmtId="0" fontId="0" fillId="0" borderId="0">
      <alignment vertical="center"/>
    </xf>
  </cellStyleXfs>
  <cellXfs count="113">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xf numFmtId="0" fontId="9" fillId="2" borderId="35" xfId="0" applyFont="1" applyFill="1" applyBorder="1">
      <alignment vertical="center"/>
    </xf>
    <xf numFmtId="0" fontId="0" fillId="0" borderId="36" xfId="0" applyBorder="1">
      <alignment vertical="center"/>
    </xf>
    <xf numFmtId="0" fontId="9" fillId="2" borderId="36" xfId="0" applyFont="1" applyFill="1" applyBorder="1">
      <alignment vertical="center"/>
    </xf>
    <xf numFmtId="0" fontId="0" fillId="0" borderId="37"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7" xfId="0" applyBorder="1">
      <alignment vertical="center"/>
    </xf>
    <xf numFmtId="0" fontId="0" fillId="2" borderId="8" xfId="0" applyFill="1" applyBorder="1">
      <alignment vertical="center"/>
    </xf>
    <xf numFmtId="0" fontId="0" fillId="2" borderId="10" xfId="0" applyFill="1" applyBorder="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workbookViewId="0">
      <selection activeCell="J15" sqref="J15"/>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11</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6</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v>2</v>
      </c>
      <c r="H25" s="9" t="s">
        <v>77</v>
      </c>
    </row>
    <row r="26" spans="2:12">
      <c r="B26" s="11" t="s">
        <v>65</v>
      </c>
      <c r="C26" s="6" t="s">
        <v>47</v>
      </c>
      <c r="D26" s="6" t="s">
        <v>41</v>
      </c>
      <c r="E26" s="25" t="s">
        <v>26</v>
      </c>
      <c r="F26" s="25">
        <v>1</v>
      </c>
      <c r="G26" s="25">
        <v>2</v>
      </c>
      <c r="H26" s="9" t="s">
        <v>77</v>
      </c>
    </row>
    <row r="27" spans="2:12">
      <c r="B27" s="11" t="s">
        <v>65</v>
      </c>
      <c r="C27" s="6" t="s">
        <v>50</v>
      </c>
      <c r="D27" s="6" t="s">
        <v>41</v>
      </c>
      <c r="E27" s="25" t="s">
        <v>26</v>
      </c>
      <c r="F27" s="25">
        <v>1</v>
      </c>
      <c r="G27" s="25">
        <v>2</v>
      </c>
      <c r="H27" s="9" t="s">
        <v>77</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25">
        <v>3</v>
      </c>
      <c r="H31" s="9" t="s">
        <v>77</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25">
        <v>2</v>
      </c>
      <c r="H41" s="9" t="s">
        <v>77</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25">
        <v>2</v>
      </c>
      <c r="H44" s="9" t="s">
        <v>77</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97">
        <v>3</v>
      </c>
      <c r="H55" s="93" t="s">
        <v>77</v>
      </c>
    </row>
    <row r="56" spans="2:8">
      <c r="B56" s="34" t="s">
        <v>88</v>
      </c>
      <c r="C56" s="6" t="s">
        <v>93</v>
      </c>
      <c r="D56" s="6" t="s">
        <v>41</v>
      </c>
      <c r="E56" s="25" t="s">
        <v>26</v>
      </c>
      <c r="F56" s="40">
        <v>2</v>
      </c>
      <c r="G56" s="7">
        <v>4</v>
      </c>
      <c r="H56" s="93" t="s">
        <v>77</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topLeftCell="A6" workbookViewId="0">
      <selection activeCell="M6" sqref="M6"/>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-49</v>
      </c>
    </row>
    <row r="6" spans="3:13">
      <c r="C6" s="80">
        <v>7</v>
      </c>
      <c r="D6" s="53">
        <v>8</v>
      </c>
      <c r="E6" s="53">
        <v>9</v>
      </c>
      <c r="F6" s="53">
        <v>10</v>
      </c>
      <c r="G6" s="54">
        <v>11</v>
      </c>
      <c r="H6" s="54">
        <v>12</v>
      </c>
      <c r="I6" s="70">
        <v>13</v>
      </c>
      <c r="K6" s="85" t="s">
        <v>26</v>
      </c>
      <c r="L6" s="84">
        <v>46238</v>
      </c>
      <c r="M6" s="2">
        <f ca="1">_xlfn.DAYS(L6,TODAY())</f>
        <v>-28</v>
      </c>
    </row>
    <row r="7" spans="3:13">
      <c r="C7" s="69">
        <v>14</v>
      </c>
      <c r="D7" s="54">
        <v>15</v>
      </c>
      <c r="E7" s="54">
        <v>16</v>
      </c>
      <c r="F7" s="54">
        <v>17</v>
      </c>
      <c r="G7" s="54">
        <v>18</v>
      </c>
      <c r="H7" s="54">
        <v>19</v>
      </c>
      <c r="I7" s="70">
        <v>20</v>
      </c>
      <c r="K7" s="86" t="s">
        <v>27</v>
      </c>
      <c r="L7" s="84">
        <v>46253</v>
      </c>
      <c r="M7" s="2">
        <f ca="1">_xlfn.DAYS(L7,TODAY())</f>
        <v>-13</v>
      </c>
    </row>
    <row r="8" spans="3:13">
      <c r="C8" s="69">
        <v>21</v>
      </c>
      <c r="D8" s="54">
        <v>22</v>
      </c>
      <c r="E8" s="54">
        <v>23</v>
      </c>
      <c r="F8" s="54">
        <v>24</v>
      </c>
      <c r="G8" s="54">
        <v>25</v>
      </c>
      <c r="H8" s="54">
        <v>26</v>
      </c>
      <c r="I8" s="70">
        <v>27</v>
      </c>
      <c r="K8" s="87" t="s">
        <v>28</v>
      </c>
      <c r="L8" s="84">
        <v>46258</v>
      </c>
      <c r="M8" s="2">
        <f ca="1">_xlfn.DAYS(L8,TODAY())</f>
        <v>-8</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46266</v>
      </c>
    </row>
    <row r="13" spans="3:13">
      <c r="C13" s="69">
        <v>5</v>
      </c>
      <c r="D13" s="54">
        <v>6</v>
      </c>
      <c r="E13" s="54">
        <v>7</v>
      </c>
      <c r="F13" s="54">
        <v>8</v>
      </c>
      <c r="G13" s="54">
        <v>9</v>
      </c>
      <c r="H13" s="54">
        <v>10</v>
      </c>
      <c r="I13" s="70">
        <v>11</v>
      </c>
      <c r="K13" s="2" t="s">
        <v>85</v>
      </c>
      <c r="L13" s="2">
        <f ca="1">_xlfn.DAYS(L12,L11)</f>
        <v>82</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95</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C72"/>
  <sheetViews>
    <sheetView tabSelected="1" topLeftCell="A56" workbookViewId="0">
      <selection activeCell="B72" sqref="B72"/>
    </sheetView>
  </sheetViews>
  <sheetFormatPr defaultRowHeight="18.75"/>
  <cols>
    <col min="2" max="2" width="124.875" customWidth="1"/>
    <col min="3" max="3" width="51.625" bestFit="1" customWidth="1"/>
    <col min="4" max="4" width="11" bestFit="1" customWidth="1"/>
  </cols>
  <sheetData>
    <row r="2" spans="2:2">
      <c r="B2" t="s">
        <v>108</v>
      </c>
    </row>
    <row r="3" spans="2:2">
      <c r="B3" t="s">
        <v>100</v>
      </c>
    </row>
    <row r="4" spans="2:2">
      <c r="B4" t="s">
        <v>101</v>
      </c>
    </row>
    <row r="6" spans="2:2">
      <c r="B6" t="s">
        <v>102</v>
      </c>
    </row>
    <row r="7" spans="2:2">
      <c r="B7" t="s">
        <v>103</v>
      </c>
    </row>
    <row r="8" spans="2:2">
      <c r="B8" t="s">
        <v>104</v>
      </c>
    </row>
    <row r="9" spans="2:2">
      <c r="B9" t="s">
        <v>107</v>
      </c>
    </row>
    <row r="10" spans="2:2">
      <c r="B10" t="s">
        <v>105</v>
      </c>
    </row>
    <row r="11" spans="2:2">
      <c r="B11" t="s">
        <v>106</v>
      </c>
    </row>
    <row r="13" spans="2:2">
      <c r="B13" t="s">
        <v>109</v>
      </c>
    </row>
    <row r="14" spans="2:2">
      <c r="B14" t="s">
        <v>118</v>
      </c>
    </row>
    <row r="15" spans="2:2">
      <c r="B15" t="s">
        <v>119</v>
      </c>
    </row>
    <row r="16" spans="2:2" ht="37.5">
      <c r="B16" s="3" t="s">
        <v>120</v>
      </c>
    </row>
    <row r="18" spans="2:3">
      <c r="B18" t="s">
        <v>121</v>
      </c>
    </row>
    <row r="19" spans="2:3">
      <c r="B19" t="s">
        <v>122</v>
      </c>
      <c r="C19" t="s">
        <v>77</v>
      </c>
    </row>
    <row r="20" spans="2:3">
      <c r="B20" t="s">
        <v>123</v>
      </c>
      <c r="C20" t="s">
        <v>77</v>
      </c>
    </row>
    <row r="21" spans="2:3">
      <c r="B21" t="s">
        <v>124</v>
      </c>
      <c r="C21" t="s">
        <v>77</v>
      </c>
    </row>
    <row r="22" spans="2:3">
      <c r="B22" t="s">
        <v>125</v>
      </c>
      <c r="C22" t="s">
        <v>77</v>
      </c>
    </row>
    <row r="23" spans="2:3">
      <c r="B23" t="s">
        <v>126</v>
      </c>
      <c r="C23" t="s">
        <v>77</v>
      </c>
    </row>
    <row r="24" spans="2:3">
      <c r="B24" t="s">
        <v>127</v>
      </c>
      <c r="C24" t="s">
        <v>77</v>
      </c>
    </row>
    <row r="26" spans="2:3">
      <c r="B26" t="s">
        <v>128</v>
      </c>
    </row>
    <row r="27" spans="2:3">
      <c r="B27" t="s">
        <v>129</v>
      </c>
      <c r="C27" t="s">
        <v>132</v>
      </c>
    </row>
    <row r="28" spans="2:3">
      <c r="B28" t="s">
        <v>130</v>
      </c>
      <c r="C28" t="s">
        <v>77</v>
      </c>
    </row>
    <row r="29" spans="2:3">
      <c r="B29" t="s">
        <v>131</v>
      </c>
      <c r="C29" t="s">
        <v>77</v>
      </c>
    </row>
    <row r="31" spans="2:3">
      <c r="B31" t="s">
        <v>133</v>
      </c>
    </row>
    <row r="32" spans="2:3">
      <c r="B32" t="s">
        <v>134</v>
      </c>
    </row>
    <row r="33" spans="2:3">
      <c r="B33" t="s">
        <v>135</v>
      </c>
    </row>
    <row r="34" spans="2:3">
      <c r="B34" t="s">
        <v>136</v>
      </c>
    </row>
    <row r="35" spans="2:3">
      <c r="B35" t="s">
        <v>137</v>
      </c>
    </row>
    <row r="36" spans="2:3" ht="19.5" thickBot="1"/>
    <row r="37" spans="2:3">
      <c r="B37" s="103" t="s">
        <v>138</v>
      </c>
      <c r="C37" t="s">
        <v>144</v>
      </c>
    </row>
    <row r="38" spans="2:3">
      <c r="B38" s="104" t="s">
        <v>139</v>
      </c>
      <c r="C38" t="s">
        <v>41</v>
      </c>
    </row>
    <row r="39" spans="2:3">
      <c r="B39" s="104" t="s">
        <v>140</v>
      </c>
      <c r="C39" t="s">
        <v>145</v>
      </c>
    </row>
    <row r="40" spans="2:3">
      <c r="B40" s="104" t="s">
        <v>141</v>
      </c>
      <c r="C40" t="s">
        <v>42</v>
      </c>
    </row>
    <row r="41" spans="2:3">
      <c r="B41" s="104" t="s">
        <v>142</v>
      </c>
      <c r="C41" t="s">
        <v>43</v>
      </c>
    </row>
    <row r="42" spans="2:3">
      <c r="B42" s="104" t="s">
        <v>143</v>
      </c>
    </row>
    <row r="43" spans="2:3">
      <c r="B43" s="104"/>
    </row>
    <row r="44" spans="2:3">
      <c r="B44" s="104" t="s">
        <v>147</v>
      </c>
    </row>
    <row r="45" spans="2:3">
      <c r="B45" s="104" t="s">
        <v>148</v>
      </c>
    </row>
    <row r="46" spans="2:3">
      <c r="B46" s="104"/>
    </row>
    <row r="47" spans="2:3">
      <c r="B47" s="105" t="s">
        <v>149</v>
      </c>
    </row>
    <row r="48" spans="2:3">
      <c r="B48" s="104" t="s">
        <v>150</v>
      </c>
      <c r="C48" t="s">
        <v>77</v>
      </c>
    </row>
    <row r="49" spans="2:3">
      <c r="B49" s="104" t="s">
        <v>151</v>
      </c>
      <c r="C49" t="s">
        <v>77</v>
      </c>
    </row>
    <row r="50" spans="2:3">
      <c r="B50" s="104" t="s">
        <v>152</v>
      </c>
    </row>
    <row r="51" spans="2:3">
      <c r="B51" s="104" t="s">
        <v>153</v>
      </c>
      <c r="C51" t="s">
        <v>77</v>
      </c>
    </row>
    <row r="52" spans="2:3">
      <c r="B52" s="104" t="s">
        <v>154</v>
      </c>
      <c r="C52" t="s">
        <v>77</v>
      </c>
    </row>
    <row r="53" spans="2:3">
      <c r="B53" s="104" t="s">
        <v>155</v>
      </c>
      <c r="C53" t="s">
        <v>77</v>
      </c>
    </row>
    <row r="54" spans="2:3" ht="19.5" thickBot="1">
      <c r="B54" s="106" t="s">
        <v>156</v>
      </c>
      <c r="C54" t="s">
        <v>77</v>
      </c>
    </row>
    <row r="56" spans="2:3" ht="19.5" thickBot="1"/>
    <row r="57" spans="2:3">
      <c r="B57" s="111" t="s">
        <v>157</v>
      </c>
      <c r="C57" s="112" t="s">
        <v>146</v>
      </c>
    </row>
    <row r="58" spans="2:3">
      <c r="B58" s="107" t="s">
        <v>160</v>
      </c>
      <c r="C58" s="108"/>
    </row>
    <row r="59" spans="2:3">
      <c r="B59" s="107" t="s">
        <v>158</v>
      </c>
      <c r="C59" s="108" t="s">
        <v>163</v>
      </c>
    </row>
    <row r="60" spans="2:3">
      <c r="B60" s="107" t="s">
        <v>159</v>
      </c>
      <c r="C60" s="108"/>
    </row>
    <row r="61" spans="2:3">
      <c r="B61" s="107" t="s">
        <v>161</v>
      </c>
      <c r="C61" s="108" t="s">
        <v>163</v>
      </c>
    </row>
    <row r="62" spans="2:3" ht="19.5" thickBot="1">
      <c r="B62" s="109" t="s">
        <v>162</v>
      </c>
      <c r="C62" s="110"/>
    </row>
    <row r="64" spans="2:3">
      <c r="B64" t="s">
        <v>164</v>
      </c>
    </row>
    <row r="65" spans="2:2">
      <c r="B65" t="s">
        <v>165</v>
      </c>
    </row>
    <row r="66" spans="2:2">
      <c r="B66" t="s">
        <v>166</v>
      </c>
    </row>
    <row r="67" spans="2:2">
      <c r="B67" t="s">
        <v>167</v>
      </c>
    </row>
    <row r="69" spans="2:2">
      <c r="B69" t="s">
        <v>168</v>
      </c>
    </row>
    <row r="70" spans="2:2">
      <c r="B70" t="s">
        <v>169</v>
      </c>
    </row>
    <row r="71" spans="2:2">
      <c r="B71" t="s">
        <v>170</v>
      </c>
    </row>
    <row r="72" spans="2:2">
      <c r="B72" t="s">
        <v>171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大崎　永遠</cp:lastModifiedBy>
  <dcterms:created xsi:type="dcterms:W3CDTF">2026-06-10T00:51:26Z</dcterms:created>
  <dcterms:modified xsi:type="dcterms:W3CDTF">2026-09-01T01:22:16Z</dcterms:modified>
</cp:coreProperties>
</file>