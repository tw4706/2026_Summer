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ongy\git\2026_Summer\"/>
    </mc:Choice>
  </mc:AlternateContent>
  <xr:revisionPtr revIDLastSave="0" documentId="13_ncr:1_{3A28CE35-122B-4870-8DFA-74E61FFBAA0C}" xr6:coauthVersionLast="47" xr6:coauthVersionMax="47" xr10:uidLastSave="{00000000-0000-0000-0000-000000000000}"/>
  <bookViews>
    <workbookView xWindow="75" yWindow="675" windowWidth="28485" windowHeight="14370" xr2:uid="{3C510CAE-AB3A-463F-A0D4-BBB49D2AE695}"/>
  </bookViews>
  <sheets>
    <sheet name="コスト表" sheetId="1" r:id="rId1"/>
    <sheet name="スケジュール" sheetId="3" r:id="rId2"/>
    <sheet name="クラス設計・概要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4" i="1" l="1"/>
  <c r="L15" i="3" s="1"/>
  <c r="M5" i="3"/>
  <c r="M6" i="3"/>
  <c r="M7" i="3"/>
  <c r="M8" i="3"/>
  <c r="L12" i="3"/>
  <c r="L13" i="3" s="1"/>
  <c r="L11" i="3"/>
  <c r="K4" i="1"/>
  <c r="L14" i="3" s="1"/>
  <c r="L7" i="1" l="1"/>
  <c r="L6" i="1"/>
  <c r="L8" i="1"/>
  <c r="L5" i="1"/>
  <c r="K6" i="1"/>
  <c r="K5" i="1"/>
  <c r="K8" i="1"/>
  <c r="K7" i="1"/>
</calcChain>
</file>

<file path=xl/sharedStrings.xml><?xml version="1.0" encoding="utf-8"?>
<sst xmlns="http://schemas.openxmlformats.org/spreadsheetml/2006/main" count="283" uniqueCount="101">
  <si>
    <t>プレイヤー</t>
    <phoneticPr fontId="1"/>
  </si>
  <si>
    <t>・移動</t>
    <rPh sb="1" eb="3">
      <t>イドウ</t>
    </rPh>
    <phoneticPr fontId="1"/>
  </si>
  <si>
    <t>・攻撃</t>
    <rPh sb="1" eb="3">
      <t>コウゲキ</t>
    </rPh>
    <phoneticPr fontId="1"/>
  </si>
  <si>
    <t>・回避</t>
    <rPh sb="1" eb="3">
      <t>カイヒ</t>
    </rPh>
    <phoneticPr fontId="1"/>
  </si>
  <si>
    <t>・防御(出来たらジャストパリイをしたい)</t>
    <rPh sb="1" eb="3">
      <t>ボウギョ</t>
    </rPh>
    <rPh sb="4" eb="6">
      <t>デキ</t>
    </rPh>
    <phoneticPr fontId="1"/>
  </si>
  <si>
    <t>→コンボ(3段)</t>
    <rPh sb="6" eb="7">
      <t>ダン</t>
    </rPh>
    <phoneticPr fontId="1"/>
  </si>
  <si>
    <t>・死亡</t>
    <rPh sb="1" eb="3">
      <t>シボウ</t>
    </rPh>
    <phoneticPr fontId="1"/>
  </si>
  <si>
    <t>・待機</t>
    <rPh sb="1" eb="3">
      <t>タイキ</t>
    </rPh>
    <phoneticPr fontId="1"/>
  </si>
  <si>
    <t>・移動(経路探索)</t>
    <rPh sb="1" eb="3">
      <t>イドウ</t>
    </rPh>
    <rPh sb="4" eb="8">
      <t>ケイロタンサク</t>
    </rPh>
    <phoneticPr fontId="1"/>
  </si>
  <si>
    <t>・ダメージ</t>
    <phoneticPr fontId="1"/>
  </si>
  <si>
    <t>敵(雑魚敵2種、ボス1種作る予定)</t>
    <rPh sb="0" eb="1">
      <t>テキ</t>
    </rPh>
    <rPh sb="2" eb="4">
      <t>ザコ</t>
    </rPh>
    <rPh sb="4" eb="5">
      <t>テキ</t>
    </rPh>
    <rPh sb="6" eb="7">
      <t>シュ</t>
    </rPh>
    <rPh sb="11" eb="12">
      <t>シュ</t>
    </rPh>
    <rPh sb="12" eb="13">
      <t>ツク</t>
    </rPh>
    <rPh sb="14" eb="16">
      <t>ヨテイ</t>
    </rPh>
    <phoneticPr fontId="1"/>
  </si>
  <si>
    <t>→ボスの場合は必殺技</t>
    <rPh sb="4" eb="6">
      <t>バアイ</t>
    </rPh>
    <rPh sb="7" eb="10">
      <t>ヒッサツワザ</t>
    </rPh>
    <phoneticPr fontId="1"/>
  </si>
  <si>
    <t>→1種類の雑魚敵は攻撃パターンを3つにする</t>
    <rPh sb="2" eb="4">
      <t>シュルイ</t>
    </rPh>
    <rPh sb="5" eb="8">
      <t>ザコテキ</t>
    </rPh>
    <rPh sb="9" eb="11">
      <t>コウゲキ</t>
    </rPh>
    <phoneticPr fontId="1"/>
  </si>
  <si>
    <t>※プレイヤーを見つけ次第最短距離で移動するようにする(経路探索)</t>
    <rPh sb="7" eb="8">
      <t>ミ</t>
    </rPh>
    <rPh sb="10" eb="12">
      <t>シダイ</t>
    </rPh>
    <rPh sb="12" eb="16">
      <t>サイタンキョリ</t>
    </rPh>
    <rPh sb="17" eb="19">
      <t>イドウ</t>
    </rPh>
    <rPh sb="27" eb="31">
      <t>ケイロタンサク</t>
    </rPh>
    <phoneticPr fontId="1"/>
  </si>
  <si>
    <t>※敵はプレイヤーの残りHPや状態を見て攻撃行動を変えるようにしたい</t>
    <phoneticPr fontId="1"/>
  </si>
  <si>
    <t>・キャラクターのやること</t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</si>
  <si>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</si>
  <si>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</si>
  <si>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</si>
  <si>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</si>
  <si>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</si>
  <si>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　</t>
    <rPh sb="0" eb="1">
      <t>キン</t>
    </rPh>
    <phoneticPr fontId="1"/>
  </si>
  <si>
    <t>土</t>
    <rPh sb="0" eb="1">
      <t>ツチ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</si>
  <si>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</si>
  <si>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</si>
  <si>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</si>
  <si>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</si>
  <si>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</si>
  <si>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</si>
  <si>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優先度</t>
  </si>
  <si>
    <t>バージョン</t>
  </si>
  <si>
    <t>実コスト</t>
  </si>
  <si>
    <t>ステータス</t>
  </si>
  <si>
    <t>内容</t>
    <rPh sb="0" eb="2">
      <t>ナイヨウ</t>
    </rPh>
    <phoneticPr fontId="1"/>
  </si>
  <si>
    <t>役割</t>
    <rPh sb="0" eb="2">
      <t>ヤクワリ</t>
    </rPh>
    <phoneticPr fontId="1"/>
  </si>
  <si>
    <t>当たり判定</t>
    <rPh sb="0" eb="1">
      <t>ア</t>
    </rPh>
    <rPh sb="3" eb="5">
      <t>ハンテイ</t>
    </rPh>
    <phoneticPr fontId="1"/>
  </si>
  <si>
    <t>ステージ</t>
    <phoneticPr fontId="1"/>
  </si>
  <si>
    <t>UI</t>
    <phoneticPr fontId="1"/>
  </si>
  <si>
    <t>エフェクト</t>
    <phoneticPr fontId="1"/>
  </si>
  <si>
    <t>サウンド</t>
    <phoneticPr fontId="1"/>
  </si>
  <si>
    <t>シーン</t>
    <phoneticPr fontId="1"/>
  </si>
  <si>
    <t>S</t>
    <phoneticPr fontId="1"/>
  </si>
  <si>
    <t>A</t>
    <phoneticPr fontId="1"/>
  </si>
  <si>
    <t>B</t>
    <phoneticPr fontId="1"/>
  </si>
  <si>
    <t>カプセルとの当たり判定</t>
    <rPh sb="6" eb="7">
      <t>ア</t>
    </rPh>
    <rPh sb="9" eb="11">
      <t>ハンテイ</t>
    </rPh>
    <phoneticPr fontId="1"/>
  </si>
  <si>
    <t>球との当たり判定</t>
    <rPh sb="0" eb="1">
      <t>タマ</t>
    </rPh>
    <rPh sb="3" eb="4">
      <t>ア</t>
    </rPh>
    <rPh sb="6" eb="8">
      <t>ハンテイ</t>
    </rPh>
    <phoneticPr fontId="1"/>
  </si>
  <si>
    <t>ポリゴンとの当たり判定</t>
    <rPh sb="6" eb="7">
      <t>ア</t>
    </rPh>
    <rPh sb="9" eb="11">
      <t>ハンテイ</t>
    </rPh>
    <phoneticPr fontId="1"/>
  </si>
  <si>
    <t>移動</t>
    <rPh sb="0" eb="2">
      <t>イドウ</t>
    </rPh>
    <phoneticPr fontId="1"/>
  </si>
  <si>
    <t>攻撃</t>
    <rPh sb="0" eb="2">
      <t>コウゲキ</t>
    </rPh>
    <phoneticPr fontId="1"/>
  </si>
  <si>
    <t>回避</t>
    <rPh sb="0" eb="2">
      <t>カイヒ</t>
    </rPh>
    <phoneticPr fontId="1"/>
  </si>
  <si>
    <t>ガード</t>
    <phoneticPr fontId="1"/>
  </si>
  <si>
    <t>死亡</t>
    <rPh sb="0" eb="2">
      <t>シボウ</t>
    </rPh>
    <phoneticPr fontId="1"/>
  </si>
  <si>
    <t>ジャンプ</t>
    <phoneticPr fontId="1"/>
  </si>
  <si>
    <t>ダメージ</t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</si>
  <si>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</si>
  <si>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</si>
  <si>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</si>
  <si>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マップ制作</t>
    <rPh sb="3" eb="5">
      <t>セイサク</t>
    </rPh>
    <phoneticPr fontId="1"/>
  </si>
  <si>
    <t>タイトルシーン(仮置き)</t>
    <rPh sb="8" eb="10">
      <t>カリオ</t>
    </rPh>
    <phoneticPr fontId="1"/>
  </si>
  <si>
    <t>ゲームシーン(仮置き)</t>
    <rPh sb="7" eb="9">
      <t>カリオ</t>
    </rPh>
    <phoneticPr fontId="1"/>
  </si>
  <si>
    <t>リザルトシーン(仮置き)</t>
    <rPh sb="8" eb="10">
      <t>カリオ</t>
    </rPh>
    <phoneticPr fontId="1"/>
  </si>
  <si>
    <t>オプション画面(仮置き)</t>
    <rPh sb="5" eb="7">
      <t>ガメン</t>
    </rPh>
    <rPh sb="8" eb="10">
      <t>カリオ</t>
    </rPh>
    <phoneticPr fontId="1"/>
  </si>
  <si>
    <t>クラス設計</t>
    <rPh sb="3" eb="5">
      <t>セッケイ</t>
    </rPh>
    <phoneticPr fontId="1"/>
  </si>
  <si>
    <t>敵共通</t>
    <rPh sb="0" eb="3">
      <t>テキキョウツウ</t>
    </rPh>
    <phoneticPr fontId="1"/>
  </si>
  <si>
    <t>ステートマシン</t>
    <phoneticPr fontId="1"/>
  </si>
  <si>
    <t>想定コスト</t>
    <rPh sb="0" eb="2">
      <t>ソウテイ</t>
    </rPh>
    <phoneticPr fontId="1"/>
  </si>
  <si>
    <t>1コスト1時間</t>
    <rPh sb="5" eb="7">
      <t>ジカン</t>
    </rPh>
    <phoneticPr fontId="1"/>
  </si>
  <si>
    <t>ボス</t>
    <phoneticPr fontId="1"/>
  </si>
  <si>
    <t>カメラ</t>
    <phoneticPr fontId="1"/>
  </si>
  <si>
    <t>回転</t>
    <rPh sb="0" eb="2">
      <t>カイテン</t>
    </rPh>
    <phoneticPr fontId="1"/>
  </si>
  <si>
    <t>総コスト</t>
    <rPh sb="0" eb="1">
      <t>ソウ</t>
    </rPh>
    <phoneticPr fontId="1"/>
  </si>
  <si>
    <t>バージョン</t>
    <phoneticPr fontId="1"/>
  </si>
  <si>
    <t>全体</t>
    <rPh sb="0" eb="2">
      <t>ゼンタイ</t>
    </rPh>
    <phoneticPr fontId="1"/>
  </si>
  <si>
    <t>サウンドマネージャー実装</t>
    <rPh sb="10" eb="12">
      <t>ジッソウ</t>
    </rPh>
    <phoneticPr fontId="1"/>
  </si>
  <si>
    <t>エフェクトマネージャー実装</t>
    <rPh sb="11" eb="13">
      <t>ジッソウ</t>
    </rPh>
    <phoneticPr fontId="1"/>
  </si>
  <si>
    <t>ロックオン</t>
    <phoneticPr fontId="1"/>
  </si>
  <si>
    <t>ロックオン切り替え</t>
    <rPh sb="5" eb="6">
      <t>キ</t>
    </rPh>
    <rPh sb="7" eb="8">
      <t>カ</t>
    </rPh>
    <phoneticPr fontId="1"/>
  </si>
  <si>
    <t>経路探索</t>
    <rPh sb="0" eb="4">
      <t>ケイロタンサク</t>
    </rPh>
    <phoneticPr fontId="1"/>
  </si>
  <si>
    <t>残コスト</t>
    <rPh sb="0" eb="1">
      <t>ザン</t>
    </rPh>
    <phoneticPr fontId="1"/>
  </si>
  <si>
    <t>完了</t>
    <rPh sb="0" eb="2">
      <t>カンリョウ</t>
    </rPh>
    <phoneticPr fontId="1"/>
  </si>
  <si>
    <t>未完了</t>
    <rPh sb="0" eb="3">
      <t>ミカンリョウ</t>
    </rPh>
    <phoneticPr fontId="1"/>
  </si>
  <si>
    <t>ボス演出用カメラ</t>
    <rPh sb="2" eb="5">
      <t>エンシュツヨウ</t>
    </rPh>
    <phoneticPr fontId="1"/>
  </si>
  <si>
    <t>6月</t>
  </si>
  <si>
    <t>バージョンごとの締め切り(現時点での)</t>
    <rPh sb="8" eb="9">
      <t>シ</t>
    </rPh>
    <rPh sb="10" eb="11">
      <t>キ</t>
    </rPh>
    <rPh sb="13" eb="16">
      <t>ゲンジテン</t>
    </rPh>
    <phoneticPr fontId="1"/>
  </si>
  <si>
    <t>開始日</t>
    <rPh sb="0" eb="3">
      <t>カイシビ</t>
    </rPh>
    <phoneticPr fontId="1"/>
  </si>
  <si>
    <t>今日の日付</t>
    <rPh sb="0" eb="2">
      <t>キョウ</t>
    </rPh>
    <rPh sb="3" eb="5">
      <t>ヒヅケ</t>
    </rPh>
    <phoneticPr fontId="1"/>
  </si>
  <si>
    <t>消化コスト</t>
    <rPh sb="0" eb="2">
      <t>ショウカ</t>
    </rPh>
    <phoneticPr fontId="1"/>
  </si>
  <si>
    <t>経過日数</t>
    <rPh sb="0" eb="2">
      <t>ケイカ</t>
    </rPh>
    <rPh sb="2" eb="4">
      <t>ニッスウ</t>
    </rPh>
    <phoneticPr fontId="1"/>
  </si>
  <si>
    <t>残り日数</t>
    <rPh sb="0" eb="1">
      <t>ノコ</t>
    </rPh>
    <rPh sb="2" eb="4">
      <t>ニッスウ</t>
    </rPh>
    <phoneticPr fontId="1"/>
  </si>
  <si>
    <t>1日の消化コストの指標</t>
    <rPh sb="1" eb="2">
      <t>ニチ</t>
    </rPh>
    <rPh sb="3" eb="5">
      <t>ショウカ</t>
    </rPh>
    <rPh sb="9" eb="11">
      <t>シヒョウ</t>
    </rPh>
    <phoneticPr fontId="1"/>
  </si>
  <si>
    <t>素材探し</t>
    <rPh sb="0" eb="2">
      <t>ソザイ</t>
    </rPh>
    <rPh sb="2" eb="3">
      <t>サガ</t>
    </rPh>
    <phoneticPr fontId="1"/>
  </si>
  <si>
    <t>プレイヤーモデル</t>
    <phoneticPr fontId="1"/>
  </si>
  <si>
    <t>敵1モデル</t>
    <rPh sb="0" eb="1">
      <t>テキ</t>
    </rPh>
    <phoneticPr fontId="1"/>
  </si>
  <si>
    <t>敵2モデル</t>
    <rPh sb="0" eb="1">
      <t>テキ</t>
    </rPh>
    <phoneticPr fontId="1"/>
  </si>
  <si>
    <t>ボスモデル</t>
    <phoneticPr fontId="1"/>
  </si>
  <si>
    <t>ステージモデル</t>
    <phoneticPr fontId="1"/>
  </si>
  <si>
    <t>マップの読み込み</t>
    <rPh sb="4" eb="5">
      <t>ヨ</t>
    </rPh>
    <rPh sb="6" eb="7">
      <t>コ</t>
    </rPh>
    <phoneticPr fontId="1"/>
  </si>
  <si>
    <t>ステージ制作(仮置き)</t>
    <rPh sb="4" eb="6">
      <t>セイサク</t>
    </rPh>
    <rPh sb="7" eb="9">
      <t>カリオ</t>
    </rPh>
    <phoneticPr fontId="1"/>
  </si>
  <si>
    <t>カメラとステージの当たり判定</t>
    <rPh sb="9" eb="10">
      <t>ア</t>
    </rPh>
    <rPh sb="12" eb="14">
      <t>ハンテイ</t>
    </rPh>
    <phoneticPr fontId="1"/>
  </si>
  <si>
    <t>ステージとオブジェクトの当たり判定</t>
    <rPh sb="12" eb="13">
      <t>ア</t>
    </rPh>
    <rPh sb="15" eb="17">
      <t>ハンテイ</t>
    </rPh>
    <phoneticPr fontId="1"/>
  </si>
  <si>
    <t>プレイヤーの攻撃判定</t>
    <rPh sb="6" eb="10">
      <t>コウゲキハンテイ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</si>
</sst>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9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b/>
      <sz val="1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 tint="-0.249977111117893"/>
      </right>
      <top/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/>
      <right style="thin">
        <color theme="2" tint="-9.9978637043366805E-2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2" tint="-9.9978637043366805E-2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">
    <xf numFmtId="0" fontId="0" fillId="0" borderId="0">
      <alignment vertical="center"/>
    </xf>
  </cellStyleXfs>
  <cellXfs count="99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5" borderId="12" xfId="0" applyFill="1" applyBorder="1">
      <alignment vertical="center"/>
    </xf>
    <xf numFmtId="0" fontId="0" fillId="13" borderId="13" xfId="0" applyFill="1" applyBorder="1">
      <alignment vertical="center"/>
    </xf>
    <xf numFmtId="0" fontId="6" fillId="13" borderId="13" xfId="0" applyFont="1" applyFill="1" applyBorder="1">
      <alignment vertical="center"/>
    </xf>
    <xf numFmtId="0" fontId="3" fillId="13" borderId="13" xfId="0" applyFont="1" applyFill="1" applyBorder="1">
      <alignment vertical="center"/>
    </xf>
    <xf numFmtId="0" fontId="0" fillId="13" borderId="14" xfId="0" applyFill="1" applyBorder="1">
      <alignment vertical="center"/>
    </xf>
    <xf numFmtId="0" fontId="0" fillId="12" borderId="12" xfId="0" applyFill="1" applyBorder="1">
      <alignment vertical="center"/>
    </xf>
    <xf numFmtId="0" fontId="0" fillId="14" borderId="12" xfId="0" applyFill="1" applyBorder="1">
      <alignment vertical="center"/>
    </xf>
    <xf numFmtId="0" fontId="0" fillId="15" borderId="12" xfId="0" applyFill="1" applyBorder="1">
      <alignment vertical="center"/>
    </xf>
    <xf numFmtId="0" fontId="0" fillId="13" borderId="16" xfId="0" applyFill="1" applyBorder="1">
      <alignment vertical="center"/>
    </xf>
    <xf numFmtId="0" fontId="3" fillId="13" borderId="16" xfId="0" applyFont="1" applyFill="1" applyBorder="1">
      <alignment vertical="center"/>
    </xf>
    <xf numFmtId="0" fontId="4" fillId="11" borderId="11" xfId="0" applyFont="1" applyFill="1" applyBorder="1">
      <alignment vertical="center"/>
    </xf>
    <xf numFmtId="0" fontId="4" fillId="11" borderId="18" xfId="0" applyFont="1" applyFill="1" applyBorder="1">
      <alignment vertical="center"/>
    </xf>
    <xf numFmtId="0" fontId="4" fillId="9" borderId="18" xfId="0" applyFont="1" applyFill="1" applyBorder="1" applyAlignment="1"/>
    <xf numFmtId="0" fontId="2" fillId="10" borderId="18" xfId="0" applyFont="1" applyFill="1" applyBorder="1" applyAlignment="1"/>
    <xf numFmtId="0" fontId="2" fillId="9" borderId="18" xfId="0" applyFont="1" applyFill="1" applyBorder="1" applyAlignment="1"/>
    <xf numFmtId="0" fontId="2" fillId="9" borderId="17" xfId="0" applyFont="1" applyFill="1" applyBorder="1" applyAlignment="1"/>
    <xf numFmtId="0" fontId="0" fillId="13" borderId="19" xfId="0" applyFill="1" applyBorder="1">
      <alignment vertical="center"/>
    </xf>
    <xf numFmtId="0" fontId="6" fillId="13" borderId="19" xfId="0" applyFont="1" applyFill="1" applyBorder="1">
      <alignment vertical="center"/>
    </xf>
    <xf numFmtId="0" fontId="0" fillId="5" borderId="20" xfId="0" applyFill="1" applyBorder="1">
      <alignment vertical="center"/>
    </xf>
    <xf numFmtId="0" fontId="0" fillId="16" borderId="12" xfId="0" applyFill="1" applyBorder="1">
      <alignment vertical="center"/>
    </xf>
    <xf numFmtId="0" fontId="5" fillId="13" borderId="13" xfId="0" applyFont="1" applyFill="1" applyBorder="1">
      <alignment vertical="center"/>
    </xf>
    <xf numFmtId="0" fontId="6" fillId="2" borderId="9" xfId="0" applyFont="1" applyFill="1" applyBorder="1">
      <alignment vertical="center"/>
    </xf>
    <xf numFmtId="0" fontId="6" fillId="2" borderId="10" xfId="0" applyFont="1" applyFill="1" applyBorder="1">
      <alignment vertical="center"/>
    </xf>
    <xf numFmtId="0" fontId="0" fillId="13" borderId="24" xfId="0" applyFill="1" applyBorder="1">
      <alignment vertical="center"/>
    </xf>
    <xf numFmtId="0" fontId="0" fillId="0" borderId="29" xfId="0" applyBorder="1">
      <alignment vertical="center"/>
    </xf>
    <xf numFmtId="0" fontId="6" fillId="13" borderId="27" xfId="0" applyFont="1" applyFill="1" applyBorder="1">
      <alignment vertical="center"/>
    </xf>
    <xf numFmtId="0" fontId="6" fillId="13" borderId="28" xfId="0" applyFont="1" applyFill="1" applyBorder="1">
      <alignment vertical="center"/>
    </xf>
    <xf numFmtId="0" fontId="6" fillId="13" borderId="26" xfId="0" applyFont="1" applyFill="1" applyBorder="1">
      <alignment vertical="center"/>
    </xf>
    <xf numFmtId="0" fontId="0" fillId="2" borderId="12" xfId="0" applyFill="1" applyBorder="1">
      <alignment vertical="center"/>
    </xf>
    <xf numFmtId="0" fontId="0" fillId="17" borderId="12" xfId="0" applyFill="1" applyBorder="1">
      <alignment vertical="center"/>
    </xf>
    <xf numFmtId="0" fontId="0" fillId="13" borderId="21" xfId="0" applyFill="1" applyBorder="1">
      <alignment vertical="center"/>
    </xf>
    <xf numFmtId="0" fontId="0" fillId="13" borderId="22" xfId="0" applyFill="1" applyBorder="1">
      <alignment vertical="center"/>
    </xf>
    <xf numFmtId="0" fontId="6" fillId="13" borderId="22" xfId="0" applyFont="1" applyFill="1" applyBorder="1">
      <alignment vertical="center"/>
    </xf>
    <xf numFmtId="0" fontId="5" fillId="13" borderId="22" xfId="0" applyFont="1" applyFill="1" applyBorder="1">
      <alignment vertical="center"/>
    </xf>
    <xf numFmtId="0" fontId="3" fillId="13" borderId="22" xfId="0" applyFont="1" applyFill="1" applyBorder="1">
      <alignment vertical="center"/>
    </xf>
    <xf numFmtId="0" fontId="0" fillId="13" borderId="23" xfId="0" applyFill="1" applyBorder="1">
      <alignment vertical="center"/>
    </xf>
    <xf numFmtId="0" fontId="5" fillId="13" borderId="24" xfId="0" applyFont="1" applyFill="1" applyBorder="1">
      <alignment vertical="center"/>
    </xf>
    <xf numFmtId="0" fontId="5" fillId="0" borderId="1" xfId="0" applyFont="1" applyBorder="1">
      <alignment vertical="center"/>
    </xf>
    <xf numFmtId="0" fontId="5" fillId="0" borderId="30" xfId="0" applyFont="1" applyBorder="1">
      <alignment vertical="center"/>
    </xf>
    <xf numFmtId="0" fontId="5" fillId="0" borderId="2" xfId="0" applyFont="1" applyBorder="1">
      <alignment vertical="center"/>
    </xf>
    <xf numFmtId="0" fontId="5" fillId="18" borderId="2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0" fillId="0" borderId="25" xfId="0" applyBorder="1">
      <alignment vertical="center"/>
    </xf>
    <xf numFmtId="0" fontId="5" fillId="5" borderId="2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0" fillId="0" borderId="31" xfId="0" applyBorder="1">
      <alignment vertical="center"/>
    </xf>
    <xf numFmtId="0" fontId="5" fillId="19" borderId="30" xfId="0" applyFont="1" applyFill="1" applyBorder="1">
      <alignment vertical="center"/>
    </xf>
    <xf numFmtId="0" fontId="6" fillId="0" borderId="0" xfId="0" applyFont="1">
      <alignment vertical="center"/>
    </xf>
    <xf numFmtId="0" fontId="0" fillId="0" borderId="32" xfId="0" applyBorder="1">
      <alignment vertical="center"/>
    </xf>
    <xf numFmtId="0" fontId="6" fillId="8" borderId="1" xfId="0" applyFont="1" applyFill="1" applyBorder="1">
      <alignment vertical="center"/>
    </xf>
    <xf numFmtId="0" fontId="6" fillId="2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6" fillId="5" borderId="1" xfId="0" applyFont="1" applyFill="1" applyBorder="1">
      <alignment vertical="center"/>
    </xf>
    <xf numFmtId="0" fontId="6" fillId="6" borderId="1" xfId="0" applyFont="1" applyFill="1" applyBorder="1">
      <alignment vertical="center"/>
    </xf>
    <xf numFmtId="0" fontId="6" fillId="7" borderId="1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0" borderId="9" xfId="0" applyFont="1" applyBorder="1">
      <alignment vertical="center"/>
    </xf>
    <xf numFmtId="0" fontId="6" fillId="6" borderId="10" xfId="0" applyFont="1" applyFill="1" applyBorder="1">
      <alignment vertical="center"/>
    </xf>
    <xf numFmtId="0" fontId="6" fillId="6" borderId="3" xfId="0" applyFont="1" applyFill="1" applyBorder="1">
      <alignment vertical="center"/>
    </xf>
    <xf numFmtId="0" fontId="6" fillId="6" borderId="4" xfId="0" applyFont="1" applyFill="1" applyBorder="1">
      <alignment vertical="center"/>
    </xf>
    <xf numFmtId="0" fontId="6" fillId="7" borderId="4" xfId="0" applyFont="1" applyFill="1" applyBorder="1">
      <alignment vertical="center"/>
    </xf>
    <xf numFmtId="0" fontId="6" fillId="7" borderId="3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6" xfId="0" applyFont="1" applyBorder="1">
      <alignment vertical="center"/>
    </xf>
    <xf numFmtId="0" fontId="6" fillId="0" borderId="7" xfId="0" applyFont="1" applyBorder="1">
      <alignment vertical="center"/>
    </xf>
    <xf numFmtId="0" fontId="6" fillId="2" borderId="3" xfId="0" applyFont="1" applyFill="1" applyBorder="1">
      <alignment vertical="center"/>
    </xf>
    <xf numFmtId="0" fontId="6" fillId="2" borderId="4" xfId="0" applyFont="1" applyFill="1" applyBorder="1">
      <alignment vertical="center"/>
    </xf>
    <xf numFmtId="0" fontId="6" fillId="5" borderId="4" xfId="0" applyFont="1" applyFill="1" applyBorder="1">
      <alignment vertical="center"/>
    </xf>
    <xf numFmtId="0" fontId="6" fillId="5" borderId="3" xfId="0" applyFont="1" applyFill="1" applyBorder="1">
      <alignment vertical="center"/>
    </xf>
    <xf numFmtId="0" fontId="6" fillId="5" borderId="5" xfId="0" applyFont="1" applyFill="1" applyBorder="1">
      <alignment vertical="center"/>
    </xf>
    <xf numFmtId="0" fontId="6" fillId="5" borderId="6" xfId="0" applyFont="1" applyFill="1" applyBorder="1">
      <alignment vertical="center"/>
    </xf>
    <xf numFmtId="0" fontId="6" fillId="4" borderId="8" xfId="0" applyFont="1" applyFill="1" applyBorder="1">
      <alignment vertical="center"/>
    </xf>
    <xf numFmtId="0" fontId="6" fillId="4" borderId="9" xfId="0" applyFont="1" applyFill="1" applyBorder="1">
      <alignment vertical="center"/>
    </xf>
    <xf numFmtId="0" fontId="6" fillId="4" borderId="10" xfId="0" applyFont="1" applyFill="1" applyBorder="1">
      <alignment vertical="center"/>
    </xf>
    <xf numFmtId="0" fontId="6" fillId="0" borderId="3" xfId="0" applyFont="1" applyBorder="1">
      <alignment vertical="center"/>
    </xf>
    <xf numFmtId="0" fontId="6" fillId="8" borderId="4" xfId="0" applyFont="1" applyFill="1" applyBorder="1">
      <alignment vertical="center"/>
    </xf>
    <xf numFmtId="0" fontId="6" fillId="8" borderId="3" xfId="0" applyFont="1" applyFill="1" applyBorder="1">
      <alignment vertical="center"/>
    </xf>
    <xf numFmtId="0" fontId="6" fillId="2" borderId="5" xfId="0" applyFont="1" applyFill="1" applyBorder="1">
      <alignment vertical="center"/>
    </xf>
    <xf numFmtId="0" fontId="6" fillId="2" borderId="6" xfId="0" applyFont="1" applyFill="1" applyBorder="1">
      <alignment vertical="center"/>
    </xf>
    <xf numFmtId="0" fontId="8" fillId="2" borderId="1" xfId="0" applyFont="1" applyFill="1" applyBorder="1">
      <alignment vertical="center"/>
    </xf>
    <xf numFmtId="56" fontId="0" fillId="0" borderId="1" xfId="0" applyNumberFormat="1" applyBorder="1">
      <alignment vertical="center"/>
    </xf>
    <xf numFmtId="0" fontId="8" fillId="5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4" fillId="7" borderId="1" xfId="0" applyFont="1" applyFill="1" applyBorder="1">
      <alignment vertical="center"/>
    </xf>
    <xf numFmtId="14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right" vertical="center"/>
    </xf>
    <xf numFmtId="0" fontId="7" fillId="0" borderId="0" xfId="0" applyFont="1">
      <alignment vertical="center"/>
    </xf>
    <xf numFmtId="0" fontId="5" fillId="0" borderId="29" xfId="0" applyFont="1" applyBorder="1">
      <alignment vertical="center"/>
    </xf>
    <xf numFmtId="0" fontId="0" fillId="17" borderId="15" xfId="0" applyFill="1" applyBorder="1">
      <alignment vertical="center"/>
    </xf>
    <xf numFmtId="0" fontId="0" fillId="13" borderId="33" xfId="0" applyFill="1" applyBorder="1">
      <alignment vertical="center"/>
    </xf>
    <xf numFmtId="0" fontId="7" fillId="13" borderId="13" xfId="0" applyFont="1" applyFill="1" applyBorder="1">
      <alignment vertical="center"/>
    </xf>
    <xf numFmtId="0" fontId="5" fillId="13" borderId="16" xfId="0" applyFont="1" applyFill="1" applyBorder="1">
      <alignment vertical="center"/>
    </xf>
    <xf numFmtId="0" fontId="5" fillId="13" borderId="34" xfId="0" applyFont="1" applyFill="1" applyBorder="1">
      <alignment vertical="center"/>
    </xf>
  </cellXfs>
  <cellStyles count="1">
    <cellStyle name="標準" xfId="0" builtinId="0"/>
  </cellStyles>
  <dxfs count="13">
    <dxf>
      <border diagonalUp="0" diagonalDown="0">
        <left style="thin">
          <color theme="0" tint="-0.249977111117893"/>
        </left>
        <right/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 diagonalUp="0" diagonalDown="0">
        <left/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font>
        <color auto="1"/>
      </font>
    </dxf>
    <dxf>
      <border>
        <top style="thin">
          <color theme="0" tint="-0.249977111117893"/>
        </top>
      </border>
    </dxf>
    <dxf>
      <border diagonalUp="0" diagonalDown="0">
        <left style="medium">
          <color theme="0" tint="-0.249977111117893"/>
        </left>
        <right style="medium">
          <color theme="0" tint="-0.249977111117893"/>
        </right>
        <top style="medium">
          <color theme="0" tint="-0.249977111117893"/>
        </top>
        <bottom style="medium">
          <color theme="0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</dxf>
    <dxf>
      <border>
        <bottom style="thin">
          <color theme="0" tint="-0.249977111117893"/>
        </bottom>
      </border>
    </dxf>
    <dxf>
      <border diagonalUp="0" diagonalDown="0">
        <left style="thin">
          <color theme="0" tint="-0.249977111117893"/>
        </left>
        <right style="thin">
          <color theme="0" tint="-0.249977111117893"/>
        </right>
        <top/>
        <bottom/>
        <vertical style="thin">
          <color theme="0" tint="-0.249977111117893"/>
        </vertical>
        <horizontal style="thin">
          <color theme="0" tint="-0.249977111117893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F7255-1AB1-4CF6-B090-10E22EB9181F}" name="テーブル1" displayName="テーブル1" ref="B3:H49" totalsRowShown="0" headerRowDxfId="12" dataDxfId="10" headerRowBorderDxfId="11" tableBorderDxfId="9" totalsRowBorderDxfId="8">
  <autoFilter ref="B3:H49" xr:uid="{935F7255-1AB1-4CF6-B090-10E22EB9181F}"/>
  <sortState xmlns:xlrd2="http://schemas.microsoft.com/office/spreadsheetml/2017/richdata2" ref="B4:H39">
    <sortCondition sortBy="fontColor" ref="F3:F39" dxfId="7"/>
  </sortState>
  <tableColumns count="7">
    <tableColumn id="1" xr3:uid="{DBD721D9-31E7-4852-8751-88A020768938}" name="役割" dataDxfId="6"/>
    <tableColumn id="8" xr3:uid="{3A719BC1-D049-45A6-828B-0FEEDD23AE1D}" name="内容" dataDxfId="5"/>
    <tableColumn id="3" xr3:uid="{B983F2FB-E4C1-4AAB-8082-88DC198AD31B}" name="優先度" dataDxfId="4"/>
    <tableColumn id="4" xr3:uid="{5D1C8FFC-8CC7-42BC-9650-F477F1294E92}" name="バージョン" dataDxfId="3"/>
    <tableColumn id="2" xr3:uid="{9F12BE3B-0DD1-41C1-8C2C-AF6C8F247D3C}" name="想定コスト" dataDxfId="2"/>
    <tableColumn id="6" xr3:uid="{13FB0F58-83C3-4C72-867B-ED29D88D66FA}" name="実コスト" dataDxfId="1"/>
    <tableColumn id="7" xr3:uid="{B9DAC499-4733-4C1B-85B6-D412A0C2495C}" name="ステータス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C1A2E-6204-42EF-8C18-D4436D1ADF2F}">
  <dimension ref="A2:M50"/>
  <sheetViews>
    <sheetView tabSelected="1" workbookViewId="0">
      <selection activeCell="H11" sqref="H11"/>
    </sheetView>
  </sheetViews>
  <sheetFormatPr defaultRowHeight="18.75"/>
  <cols>
    <col min="2" max="2" width="11" bestFit="1" customWidth="1"/>
    <col min="3" max="3" width="35.75" bestFit="1" customWidth="1"/>
    <col min="4" max="4" width="8.375" customWidth="1"/>
    <col min="5" max="5" width="16.625" bestFit="1" customWidth="1"/>
    <col min="6" max="6" width="16.625" customWidth="1"/>
    <col min="7" max="7" width="11.25" bestFit="1" customWidth="1"/>
    <col min="8" max="8" width="12.125" customWidth="1"/>
    <col min="9" max="10" width="9.25" bestFit="1" customWidth="1"/>
    <col min="11" max="11" width="11" bestFit="1" customWidth="1"/>
  </cols>
  <sheetData>
    <row r="2" spans="2:13">
      <c r="B2" t="s">
        <v>66</v>
      </c>
      <c r="L2" s="50"/>
    </row>
    <row r="3" spans="2:13">
      <c r="B3" s="15" t="s">
        <v>34</v>
      </c>
      <c r="C3" s="16" t="s">
        <v>33</v>
      </c>
      <c r="D3" s="17" t="s">
        <v>29</v>
      </c>
      <c r="E3" s="18" t="s">
        <v>30</v>
      </c>
      <c r="F3" s="18" t="s">
        <v>65</v>
      </c>
      <c r="G3" s="19" t="s">
        <v>31</v>
      </c>
      <c r="H3" s="20" t="s">
        <v>32</v>
      </c>
      <c r="J3" s="42" t="s">
        <v>71</v>
      </c>
      <c r="K3" s="42" t="s">
        <v>70</v>
      </c>
      <c r="L3" s="43" t="s">
        <v>78</v>
      </c>
    </row>
    <row r="4" spans="2:13" ht="19.5" thickBot="1">
      <c r="B4" s="35" t="s">
        <v>62</v>
      </c>
      <c r="C4" s="36" t="s">
        <v>62</v>
      </c>
      <c r="D4" s="36" t="s">
        <v>41</v>
      </c>
      <c r="E4" s="37" t="s">
        <v>25</v>
      </c>
      <c r="F4" s="38">
        <v>15</v>
      </c>
      <c r="G4" s="39"/>
      <c r="H4" s="40" t="s">
        <v>80</v>
      </c>
      <c r="J4" s="49" t="s">
        <v>72</v>
      </c>
      <c r="K4" s="42">
        <f>SUM(テーブル1[想定コスト])</f>
        <v>100</v>
      </c>
      <c r="L4" s="42">
        <f>SUMIF(テーブル1[ステータス],"未完了",テーブル1[想定コスト])</f>
        <v>88</v>
      </c>
    </row>
    <row r="5" spans="2:13" ht="19.5" thickBot="1">
      <c r="B5" s="23" t="s">
        <v>35</v>
      </c>
      <c r="C5" s="21" t="s">
        <v>44</v>
      </c>
      <c r="D5" s="21" t="s">
        <v>41</v>
      </c>
      <c r="E5" s="22" t="s">
        <v>25</v>
      </c>
      <c r="F5" s="22">
        <v>5</v>
      </c>
      <c r="G5" s="25">
        <v>2</v>
      </c>
      <c r="H5" s="40" t="s">
        <v>79</v>
      </c>
      <c r="J5" s="48" t="s">
        <v>25</v>
      </c>
      <c r="K5" s="43">
        <f>SUMIF(テーブル1[バージョン],J5,テーブル1[想定コスト])</f>
        <v>69</v>
      </c>
      <c r="L5" s="43">
        <f>SUMIFS(テーブル1[想定コスト],テーブル1[バージョン],J5,テーブル1[ステータス],"未完了")</f>
        <v>57</v>
      </c>
    </row>
    <row r="6" spans="2:13" ht="19.5" thickBot="1">
      <c r="B6" s="5" t="s">
        <v>35</v>
      </c>
      <c r="C6" s="6" t="s">
        <v>45</v>
      </c>
      <c r="D6" s="6" t="s">
        <v>41</v>
      </c>
      <c r="E6" s="7" t="s">
        <v>25</v>
      </c>
      <c r="F6" s="7">
        <v>1</v>
      </c>
      <c r="G6" s="7">
        <v>1</v>
      </c>
      <c r="H6" s="40" t="s">
        <v>79</v>
      </c>
      <c r="J6" s="46" t="s">
        <v>26</v>
      </c>
      <c r="K6" s="44">
        <f>SUMIF(テーブル1[バージョン],J6,テーブル1[想定コスト])</f>
        <v>31</v>
      </c>
      <c r="L6" s="44">
        <f>SUMIFS(テーブル1[想定コスト],テーブル1[バージョン],J6,テーブル1[ステータス],"未完了")</f>
        <v>31</v>
      </c>
      <c r="M6" s="53"/>
    </row>
    <row r="7" spans="2:13">
      <c r="B7" s="5" t="s">
        <v>35</v>
      </c>
      <c r="C7" s="6" t="s">
        <v>99</v>
      </c>
      <c r="D7" s="6" t="s">
        <v>41</v>
      </c>
      <c r="E7" s="7" t="s">
        <v>25</v>
      </c>
      <c r="F7" s="25">
        <v>3</v>
      </c>
      <c r="G7" s="8"/>
      <c r="H7" s="9" t="s">
        <v>80</v>
      </c>
      <c r="J7" s="45" t="s">
        <v>27</v>
      </c>
      <c r="K7" s="43">
        <f>SUMIF(テーブル1[バージョン],J7,テーブル1[想定コスト])</f>
        <v>0</v>
      </c>
      <c r="L7" s="44">
        <f>SUMIFS(テーブル1[想定コスト],テーブル1[バージョン],J7,テーブル1[ステータス],"完了")</f>
        <v>0</v>
      </c>
    </row>
    <row r="8" spans="2:13">
      <c r="B8" s="5" t="s">
        <v>35</v>
      </c>
      <c r="C8" s="6" t="s">
        <v>98</v>
      </c>
      <c r="D8" s="6" t="s">
        <v>41</v>
      </c>
      <c r="E8" s="7" t="s">
        <v>25</v>
      </c>
      <c r="F8" s="25">
        <v>3</v>
      </c>
      <c r="G8" s="8"/>
      <c r="H8" s="9" t="s">
        <v>80</v>
      </c>
      <c r="I8" s="47"/>
      <c r="J8" s="51" t="s">
        <v>28</v>
      </c>
      <c r="K8" s="42">
        <f>SUMIF(テーブル1[バージョン],J8,テーブル1[想定コスト])</f>
        <v>0</v>
      </c>
      <c r="L8" s="43">
        <f>SUMIFS(テーブル1[想定コスト],テーブル1[バージョン],J8,テーブル1[ステータス],"完了")</f>
        <v>0</v>
      </c>
    </row>
    <row r="9" spans="2:13" ht="19.5" thickBot="1">
      <c r="B9" s="5" t="s">
        <v>35</v>
      </c>
      <c r="C9" s="6" t="s">
        <v>46</v>
      </c>
      <c r="D9" s="6" t="s">
        <v>41</v>
      </c>
      <c r="E9" s="7" t="s">
        <v>25</v>
      </c>
      <c r="F9" s="7">
        <v>5</v>
      </c>
      <c r="G9" s="8"/>
      <c r="H9" s="40" t="s">
        <v>80</v>
      </c>
    </row>
    <row r="10" spans="2:13" ht="19.5" thickBot="1">
      <c r="B10" s="5" t="s">
        <v>35</v>
      </c>
      <c r="C10" s="6" t="s">
        <v>100</v>
      </c>
      <c r="D10" s="6" t="s">
        <v>41</v>
      </c>
      <c r="E10" s="25" t="s">
        <v>25</v>
      </c>
      <c r="F10" s="97">
        <v>3</v>
      </c>
      <c r="G10" s="8"/>
      <c r="H10" s="40" t="s">
        <v>80</v>
      </c>
    </row>
    <row r="11" spans="2:13">
      <c r="B11" s="10" t="s">
        <v>0</v>
      </c>
      <c r="C11" s="6" t="s">
        <v>47</v>
      </c>
      <c r="D11" s="6" t="s">
        <v>41</v>
      </c>
      <c r="E11" s="25" t="s">
        <v>25</v>
      </c>
      <c r="F11" s="25">
        <v>1</v>
      </c>
      <c r="G11" s="25">
        <v>1</v>
      </c>
      <c r="H11" s="9" t="s">
        <v>79</v>
      </c>
    </row>
    <row r="12" spans="2:13">
      <c r="B12" s="10" t="s">
        <v>0</v>
      </c>
      <c r="C12" s="6" t="s">
        <v>52</v>
      </c>
      <c r="D12" s="6" t="s">
        <v>41</v>
      </c>
      <c r="E12" s="25" t="s">
        <v>25</v>
      </c>
      <c r="F12" s="25">
        <v>1</v>
      </c>
      <c r="G12" s="25">
        <v>1</v>
      </c>
      <c r="H12" s="9" t="s">
        <v>79</v>
      </c>
      <c r="J12" s="29"/>
      <c r="K12" s="92"/>
    </row>
    <row r="13" spans="2:13">
      <c r="B13" s="10" t="s">
        <v>0</v>
      </c>
      <c r="C13" s="6" t="s">
        <v>48</v>
      </c>
      <c r="D13" s="6" t="s">
        <v>41</v>
      </c>
      <c r="E13" s="25" t="s">
        <v>25</v>
      </c>
      <c r="F13" s="25">
        <v>1</v>
      </c>
      <c r="G13" s="8"/>
      <c r="H13" s="9" t="s">
        <v>80</v>
      </c>
    </row>
    <row r="14" spans="2:13">
      <c r="B14" s="10" t="s">
        <v>0</v>
      </c>
      <c r="C14" s="6" t="s">
        <v>50</v>
      </c>
      <c r="D14" s="6" t="s">
        <v>42</v>
      </c>
      <c r="E14" s="25" t="s">
        <v>25</v>
      </c>
      <c r="F14" s="25">
        <v>1</v>
      </c>
      <c r="G14" s="8"/>
      <c r="H14" s="9" t="s">
        <v>80</v>
      </c>
    </row>
    <row r="15" spans="2:13">
      <c r="B15" s="10" t="s">
        <v>0</v>
      </c>
      <c r="C15" s="6" t="s">
        <v>49</v>
      </c>
      <c r="D15" s="6" t="s">
        <v>41</v>
      </c>
      <c r="E15" s="25" t="s">
        <v>25</v>
      </c>
      <c r="F15" s="25">
        <v>1</v>
      </c>
      <c r="G15" s="8">
        <v>1</v>
      </c>
      <c r="H15" s="9" t="s">
        <v>79</v>
      </c>
    </row>
    <row r="16" spans="2:13">
      <c r="B16" s="10" t="s">
        <v>0</v>
      </c>
      <c r="C16" s="6" t="s">
        <v>53</v>
      </c>
      <c r="D16" s="6" t="s">
        <v>41</v>
      </c>
      <c r="E16" s="25" t="s">
        <v>25</v>
      </c>
      <c r="F16" s="25">
        <v>1</v>
      </c>
      <c r="G16" s="8"/>
      <c r="H16" s="9" t="s">
        <v>80</v>
      </c>
    </row>
    <row r="17" spans="2:12">
      <c r="B17" s="10" t="s">
        <v>0</v>
      </c>
      <c r="C17" s="6" t="s">
        <v>51</v>
      </c>
      <c r="D17" s="6" t="s">
        <v>41</v>
      </c>
      <c r="E17" s="25" t="s">
        <v>25</v>
      </c>
      <c r="F17" s="25">
        <v>1</v>
      </c>
      <c r="G17" s="8"/>
      <c r="H17" s="9" t="s">
        <v>80</v>
      </c>
    </row>
    <row r="18" spans="2:12">
      <c r="B18" s="10" t="s">
        <v>0</v>
      </c>
      <c r="C18" s="6" t="s">
        <v>54</v>
      </c>
      <c r="D18" s="6" t="s">
        <v>42</v>
      </c>
      <c r="E18" s="25" t="s">
        <v>26</v>
      </c>
      <c r="F18" s="25">
        <v>3</v>
      </c>
      <c r="G18" s="8"/>
      <c r="H18" s="9" t="s">
        <v>80</v>
      </c>
    </row>
    <row r="19" spans="2:12">
      <c r="B19" s="11" t="s">
        <v>55</v>
      </c>
      <c r="C19" s="6" t="s">
        <v>47</v>
      </c>
      <c r="D19" s="6" t="s">
        <v>41</v>
      </c>
      <c r="E19" s="25" t="s">
        <v>25</v>
      </c>
      <c r="F19" s="25">
        <v>1</v>
      </c>
      <c r="G19" s="25">
        <v>1</v>
      </c>
      <c r="H19" s="9" t="s">
        <v>79</v>
      </c>
    </row>
    <row r="20" spans="2:12">
      <c r="B20" s="11" t="s">
        <v>55</v>
      </c>
      <c r="C20" s="6" t="s">
        <v>48</v>
      </c>
      <c r="D20" s="6" t="s">
        <v>41</v>
      </c>
      <c r="E20" s="25" t="s">
        <v>25</v>
      </c>
      <c r="F20" s="25">
        <v>1</v>
      </c>
      <c r="G20" s="8"/>
      <c r="H20" s="9" t="s">
        <v>80</v>
      </c>
    </row>
    <row r="21" spans="2:12">
      <c r="B21" s="11" t="s">
        <v>55</v>
      </c>
      <c r="C21" s="6" t="s">
        <v>51</v>
      </c>
      <c r="D21" s="6" t="s">
        <v>41</v>
      </c>
      <c r="E21" s="25" t="s">
        <v>26</v>
      </c>
      <c r="F21" s="25">
        <v>1</v>
      </c>
      <c r="G21" s="8"/>
      <c r="H21" s="9" t="s">
        <v>80</v>
      </c>
    </row>
    <row r="22" spans="2:12">
      <c r="B22" s="11" t="s">
        <v>56</v>
      </c>
      <c r="C22" s="6" t="s">
        <v>47</v>
      </c>
      <c r="D22" s="6" t="s">
        <v>41</v>
      </c>
      <c r="E22" s="25" t="s">
        <v>25</v>
      </c>
      <c r="F22" s="25">
        <v>1</v>
      </c>
      <c r="G22" s="8"/>
      <c r="H22" s="9" t="s">
        <v>80</v>
      </c>
    </row>
    <row r="23" spans="2:12">
      <c r="B23" s="11" t="s">
        <v>56</v>
      </c>
      <c r="C23" s="6" t="s">
        <v>48</v>
      </c>
      <c r="D23" s="6" t="s">
        <v>41</v>
      </c>
      <c r="E23" s="25" t="s">
        <v>25</v>
      </c>
      <c r="F23" s="25">
        <v>1</v>
      </c>
      <c r="G23" s="8"/>
      <c r="H23" s="9" t="s">
        <v>80</v>
      </c>
    </row>
    <row r="24" spans="2:12">
      <c r="B24" s="11" t="s">
        <v>56</v>
      </c>
      <c r="C24" s="6" t="s">
        <v>51</v>
      </c>
      <c r="D24" s="6" t="s">
        <v>41</v>
      </c>
      <c r="E24" s="25" t="s">
        <v>26</v>
      </c>
      <c r="F24" s="25">
        <v>1</v>
      </c>
      <c r="G24" s="8"/>
      <c r="H24" s="9" t="s">
        <v>80</v>
      </c>
    </row>
    <row r="25" spans="2:12">
      <c r="B25" s="11" t="s">
        <v>67</v>
      </c>
      <c r="C25" s="6" t="s">
        <v>47</v>
      </c>
      <c r="D25" s="6" t="s">
        <v>41</v>
      </c>
      <c r="E25" s="25" t="s">
        <v>26</v>
      </c>
      <c r="F25" s="25">
        <v>1</v>
      </c>
      <c r="G25" s="8"/>
      <c r="H25" s="9" t="s">
        <v>80</v>
      </c>
    </row>
    <row r="26" spans="2:12">
      <c r="B26" s="11" t="s">
        <v>67</v>
      </c>
      <c r="C26" s="6" t="s">
        <v>48</v>
      </c>
      <c r="D26" s="6" t="s">
        <v>41</v>
      </c>
      <c r="E26" s="25" t="s">
        <v>26</v>
      </c>
      <c r="F26" s="25">
        <v>1</v>
      </c>
      <c r="G26" s="8"/>
      <c r="H26" s="9" t="s">
        <v>80</v>
      </c>
    </row>
    <row r="27" spans="2:12">
      <c r="B27" s="11" t="s">
        <v>67</v>
      </c>
      <c r="C27" s="6" t="s">
        <v>51</v>
      </c>
      <c r="D27" s="6" t="s">
        <v>41</v>
      </c>
      <c r="E27" s="25" t="s">
        <v>26</v>
      </c>
      <c r="F27" s="25">
        <v>1</v>
      </c>
      <c r="G27" s="8"/>
      <c r="H27" s="9" t="s">
        <v>80</v>
      </c>
    </row>
    <row r="28" spans="2:12">
      <c r="B28" s="11" t="s">
        <v>63</v>
      </c>
      <c r="C28" s="6" t="s">
        <v>64</v>
      </c>
      <c r="D28" s="6" t="s">
        <v>41</v>
      </c>
      <c r="E28" s="25" t="s">
        <v>25</v>
      </c>
      <c r="F28" s="97">
        <v>8</v>
      </c>
      <c r="G28" s="8"/>
      <c r="H28" s="9" t="s">
        <v>80</v>
      </c>
    </row>
    <row r="29" spans="2:12">
      <c r="B29" s="11" t="s">
        <v>63</v>
      </c>
      <c r="C29" s="6" t="s">
        <v>77</v>
      </c>
      <c r="D29" s="6" t="s">
        <v>41</v>
      </c>
      <c r="E29" s="25" t="s">
        <v>25</v>
      </c>
      <c r="F29" s="25">
        <v>5</v>
      </c>
      <c r="G29" s="8"/>
      <c r="H29" s="9" t="s">
        <v>80</v>
      </c>
    </row>
    <row r="30" spans="2:12">
      <c r="B30" s="12" t="s">
        <v>36</v>
      </c>
      <c r="C30" s="6" t="s">
        <v>97</v>
      </c>
      <c r="D30" s="6" t="s">
        <v>41</v>
      </c>
      <c r="E30" s="25" t="s">
        <v>25</v>
      </c>
      <c r="F30" s="25">
        <v>2</v>
      </c>
      <c r="G30" s="8"/>
      <c r="H30" s="9" t="s">
        <v>80</v>
      </c>
      <c r="L30" s="28"/>
    </row>
    <row r="31" spans="2:12">
      <c r="B31" s="12" t="s">
        <v>36</v>
      </c>
      <c r="C31" s="6" t="s">
        <v>57</v>
      </c>
      <c r="D31" s="6" t="s">
        <v>41</v>
      </c>
      <c r="E31" s="25" t="s">
        <v>26</v>
      </c>
      <c r="F31" s="25">
        <v>3</v>
      </c>
      <c r="G31" s="8"/>
      <c r="H31" s="9" t="s">
        <v>80</v>
      </c>
      <c r="L31" s="28"/>
    </row>
    <row r="32" spans="2:12">
      <c r="B32" s="12" t="s">
        <v>36</v>
      </c>
      <c r="C32" s="6" t="s">
        <v>96</v>
      </c>
      <c r="D32" s="96" t="s">
        <v>41</v>
      </c>
      <c r="E32" s="25" t="s">
        <v>26</v>
      </c>
      <c r="F32" s="25">
        <v>3</v>
      </c>
      <c r="G32" s="8"/>
      <c r="H32" s="9" t="s">
        <v>80</v>
      </c>
    </row>
    <row r="33" spans="1:8">
      <c r="B33" s="24" t="s">
        <v>40</v>
      </c>
      <c r="C33" s="6" t="s">
        <v>58</v>
      </c>
      <c r="D33" s="6" t="s">
        <v>42</v>
      </c>
      <c r="E33" s="25" t="s">
        <v>25</v>
      </c>
      <c r="F33" s="25">
        <v>1</v>
      </c>
      <c r="G33" s="8"/>
      <c r="H33" s="9" t="s">
        <v>80</v>
      </c>
    </row>
    <row r="34" spans="1:8">
      <c r="B34" s="24" t="s">
        <v>40</v>
      </c>
      <c r="C34" s="6" t="s">
        <v>59</v>
      </c>
      <c r="D34" s="6" t="s">
        <v>42</v>
      </c>
      <c r="E34" s="25" t="s">
        <v>25</v>
      </c>
      <c r="F34" s="25">
        <v>1</v>
      </c>
      <c r="G34" s="8">
        <v>1</v>
      </c>
      <c r="H34" s="9" t="s">
        <v>80</v>
      </c>
    </row>
    <row r="35" spans="1:8">
      <c r="B35" s="24" t="s">
        <v>40</v>
      </c>
      <c r="C35" s="6" t="s">
        <v>60</v>
      </c>
      <c r="D35" s="6" t="s">
        <v>42</v>
      </c>
      <c r="E35" s="25" t="s">
        <v>25</v>
      </c>
      <c r="F35" s="25">
        <v>1</v>
      </c>
      <c r="G35" s="8"/>
      <c r="H35" s="9" t="s">
        <v>80</v>
      </c>
    </row>
    <row r="36" spans="1:8">
      <c r="B36" s="24" t="s">
        <v>40</v>
      </c>
      <c r="C36" s="6" t="s">
        <v>61</v>
      </c>
      <c r="D36" s="6" t="s">
        <v>43</v>
      </c>
      <c r="E36" s="25" t="s">
        <v>26</v>
      </c>
      <c r="F36" s="25">
        <v>1</v>
      </c>
      <c r="G36" s="8"/>
      <c r="H36" s="9" t="s">
        <v>80</v>
      </c>
    </row>
    <row r="37" spans="1:8">
      <c r="B37" s="10" t="s">
        <v>68</v>
      </c>
      <c r="C37" s="6" t="s">
        <v>47</v>
      </c>
      <c r="D37" s="6" t="s">
        <v>41</v>
      </c>
      <c r="E37" s="25" t="s">
        <v>25</v>
      </c>
      <c r="F37" s="25">
        <v>1</v>
      </c>
      <c r="G37" s="8">
        <v>1</v>
      </c>
      <c r="H37" s="9" t="s">
        <v>79</v>
      </c>
    </row>
    <row r="38" spans="1:8">
      <c r="B38" s="10" t="s">
        <v>68</v>
      </c>
      <c r="C38" s="6" t="s">
        <v>69</v>
      </c>
      <c r="D38" s="6" t="s">
        <v>41</v>
      </c>
      <c r="E38" s="25" t="s">
        <v>25</v>
      </c>
      <c r="F38" s="25">
        <v>1</v>
      </c>
      <c r="G38" s="8">
        <v>1</v>
      </c>
      <c r="H38" s="9" t="s">
        <v>79</v>
      </c>
    </row>
    <row r="39" spans="1:8">
      <c r="B39" s="10" t="s">
        <v>68</v>
      </c>
      <c r="C39" s="6" t="s">
        <v>75</v>
      </c>
      <c r="D39" s="6" t="s">
        <v>41</v>
      </c>
      <c r="E39" s="25" t="s">
        <v>25</v>
      </c>
      <c r="F39" s="25">
        <v>3</v>
      </c>
      <c r="G39" s="8"/>
      <c r="H39" s="9" t="s">
        <v>80</v>
      </c>
    </row>
    <row r="40" spans="1:8">
      <c r="A40" s="29"/>
      <c r="B40" s="10" t="s">
        <v>68</v>
      </c>
      <c r="C40" s="6" t="s">
        <v>76</v>
      </c>
      <c r="D40" s="6" t="s">
        <v>41</v>
      </c>
      <c r="E40" s="25" t="s">
        <v>26</v>
      </c>
      <c r="F40" s="25">
        <v>3</v>
      </c>
      <c r="G40" s="8"/>
      <c r="H40" s="9" t="s">
        <v>80</v>
      </c>
    </row>
    <row r="41" spans="1:8">
      <c r="A41" s="29"/>
      <c r="B41" s="10" t="s">
        <v>68</v>
      </c>
      <c r="C41" s="6" t="s">
        <v>81</v>
      </c>
      <c r="D41" s="6" t="s">
        <v>41</v>
      </c>
      <c r="E41" s="25" t="s">
        <v>26</v>
      </c>
      <c r="F41" s="25">
        <v>3</v>
      </c>
      <c r="G41" s="8"/>
      <c r="H41" s="9" t="s">
        <v>80</v>
      </c>
    </row>
    <row r="42" spans="1:8">
      <c r="B42" s="5" t="s">
        <v>38</v>
      </c>
      <c r="C42" s="6" t="s">
        <v>74</v>
      </c>
      <c r="D42" s="6" t="s">
        <v>41</v>
      </c>
      <c r="E42" s="25" t="s">
        <v>26</v>
      </c>
      <c r="F42" s="98">
        <v>2</v>
      </c>
      <c r="G42" s="8"/>
      <c r="H42" s="9" t="s">
        <v>80</v>
      </c>
    </row>
    <row r="43" spans="1:8">
      <c r="A43" s="93"/>
      <c r="B43" s="34" t="s">
        <v>39</v>
      </c>
      <c r="C43" s="6" t="s">
        <v>73</v>
      </c>
      <c r="D43" s="6" t="s">
        <v>41</v>
      </c>
      <c r="E43" s="25" t="s">
        <v>26</v>
      </c>
      <c r="F43" s="98">
        <v>2</v>
      </c>
      <c r="G43" s="8"/>
      <c r="H43" s="9" t="s">
        <v>80</v>
      </c>
    </row>
    <row r="44" spans="1:8">
      <c r="A44" s="93"/>
      <c r="B44" s="33" t="s">
        <v>37</v>
      </c>
      <c r="C44" s="6"/>
      <c r="D44" s="6"/>
      <c r="E44" s="25"/>
      <c r="F44" s="97"/>
      <c r="G44" s="8"/>
      <c r="H44" s="9"/>
    </row>
    <row r="45" spans="1:8">
      <c r="B45" s="34" t="s">
        <v>90</v>
      </c>
      <c r="C45" s="6" t="s">
        <v>91</v>
      </c>
      <c r="D45" s="6" t="s">
        <v>41</v>
      </c>
      <c r="E45" s="25" t="s">
        <v>26</v>
      </c>
      <c r="F45" s="25">
        <v>1</v>
      </c>
      <c r="G45" s="8"/>
      <c r="H45" s="9" t="s">
        <v>80</v>
      </c>
    </row>
    <row r="46" spans="1:8">
      <c r="B46" s="34" t="s">
        <v>90</v>
      </c>
      <c r="C46" s="6" t="s">
        <v>92</v>
      </c>
      <c r="D46" s="6" t="s">
        <v>41</v>
      </c>
      <c r="E46" s="25" t="s">
        <v>26</v>
      </c>
      <c r="F46" s="25">
        <v>1</v>
      </c>
      <c r="G46" s="8"/>
      <c r="H46" s="9" t="s">
        <v>80</v>
      </c>
    </row>
    <row r="47" spans="1:8">
      <c r="B47" s="34" t="s">
        <v>90</v>
      </c>
      <c r="C47" s="6" t="s">
        <v>93</v>
      </c>
      <c r="D47" s="6" t="s">
        <v>41</v>
      </c>
      <c r="E47" s="25" t="s">
        <v>26</v>
      </c>
      <c r="F47" s="25">
        <v>1</v>
      </c>
      <c r="G47" s="8"/>
      <c r="H47" s="9" t="s">
        <v>80</v>
      </c>
    </row>
    <row r="48" spans="1:8">
      <c r="B48" s="94" t="s">
        <v>90</v>
      </c>
      <c r="C48" s="13" t="s">
        <v>94</v>
      </c>
      <c r="D48" s="13" t="s">
        <v>41</v>
      </c>
      <c r="E48" s="97" t="s">
        <v>26</v>
      </c>
      <c r="F48" s="97">
        <v>1</v>
      </c>
      <c r="G48" s="14"/>
      <c r="H48" s="95" t="s">
        <v>80</v>
      </c>
    </row>
    <row r="49" spans="2:8">
      <c r="B49" s="34" t="s">
        <v>90</v>
      </c>
      <c r="C49" s="6" t="s">
        <v>95</v>
      </c>
      <c r="D49" s="6" t="s">
        <v>41</v>
      </c>
      <c r="E49" s="25" t="s">
        <v>26</v>
      </c>
      <c r="F49" s="41">
        <v>2</v>
      </c>
      <c r="G49" s="8"/>
      <c r="H49" s="9" t="s">
        <v>80</v>
      </c>
    </row>
    <row r="50" spans="2:8">
      <c r="B50" s="31"/>
      <c r="C50" s="30"/>
      <c r="D50" s="30"/>
      <c r="E50" s="32"/>
      <c r="F50" s="30"/>
      <c r="G50" s="30"/>
      <c r="H50" s="30"/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A2C3C-9B9C-4102-83F5-50205D2BE7BB}">
  <dimension ref="C3:M24"/>
  <sheetViews>
    <sheetView workbookViewId="0">
      <selection activeCell="D14" sqref="D14"/>
    </sheetView>
  </sheetViews>
  <sheetFormatPr defaultRowHeight="18.75"/>
  <cols>
    <col min="11" max="11" width="37.5" bestFit="1" customWidth="1"/>
    <col min="12" max="12" width="10.25" bestFit="1" customWidth="1"/>
  </cols>
  <sheetData>
    <row r="3" spans="3:13" ht="19.5" thickBot="1">
      <c r="C3" t="s">
        <v>82</v>
      </c>
    </row>
    <row r="4" spans="3:13">
      <c r="C4" s="77" t="s">
        <v>16</v>
      </c>
      <c r="D4" s="78" t="s">
        <v>17</v>
      </c>
      <c r="E4" s="78" t="s">
        <v>18</v>
      </c>
      <c r="F4" s="78" t="s">
        <v>19</v>
      </c>
      <c r="G4" s="78" t="s">
        <v>20</v>
      </c>
      <c r="H4" s="78" t="s">
        <v>21</v>
      </c>
      <c r="I4" s="79" t="s">
        <v>22</v>
      </c>
      <c r="K4" s="2" t="s">
        <v>83</v>
      </c>
      <c r="L4" s="2"/>
      <c r="M4" s="2" t="s">
        <v>88</v>
      </c>
    </row>
    <row r="5" spans="3:13">
      <c r="C5" s="80"/>
      <c r="D5" s="54">
        <v>1</v>
      </c>
      <c r="E5" s="54">
        <v>2</v>
      </c>
      <c r="F5" s="54">
        <v>3</v>
      </c>
      <c r="G5" s="54">
        <v>4</v>
      </c>
      <c r="H5" s="54">
        <v>5</v>
      </c>
      <c r="I5" s="81">
        <v>6</v>
      </c>
      <c r="K5" s="85" t="s">
        <v>25</v>
      </c>
      <c r="L5" s="86">
        <v>46217</v>
      </c>
      <c r="M5" s="2">
        <f ca="1">_xlfn.DAYS(L5,TODAY())</f>
        <v>22</v>
      </c>
    </row>
    <row r="6" spans="3:13">
      <c r="C6" s="82">
        <v>7</v>
      </c>
      <c r="D6" s="54">
        <v>8</v>
      </c>
      <c r="E6" s="54">
        <v>9</v>
      </c>
      <c r="F6" s="54">
        <v>10</v>
      </c>
      <c r="G6" s="55">
        <v>11</v>
      </c>
      <c r="H6" s="55">
        <v>12</v>
      </c>
      <c r="I6" s="72">
        <v>13</v>
      </c>
      <c r="K6" s="87" t="s">
        <v>26</v>
      </c>
      <c r="L6" s="86">
        <v>46234</v>
      </c>
      <c r="M6" s="2">
        <f ca="1">_xlfn.DAYS(L6,TODAY())</f>
        <v>39</v>
      </c>
    </row>
    <row r="7" spans="3:13">
      <c r="C7" s="71">
        <v>14</v>
      </c>
      <c r="D7" s="55">
        <v>15</v>
      </c>
      <c r="E7" s="55">
        <v>16</v>
      </c>
      <c r="F7" s="55">
        <v>17</v>
      </c>
      <c r="G7" s="55">
        <v>18</v>
      </c>
      <c r="H7" s="55">
        <v>19</v>
      </c>
      <c r="I7" s="72">
        <v>20</v>
      </c>
      <c r="K7" s="88" t="s">
        <v>27</v>
      </c>
      <c r="L7" s="86">
        <v>46253</v>
      </c>
      <c r="M7" s="2">
        <f ca="1">_xlfn.DAYS(L7,TODAY())</f>
        <v>58</v>
      </c>
    </row>
    <row r="8" spans="3:13">
      <c r="C8" s="71">
        <v>21</v>
      </c>
      <c r="D8" s="55">
        <v>22</v>
      </c>
      <c r="E8" s="55">
        <v>23</v>
      </c>
      <c r="F8" s="55">
        <v>24</v>
      </c>
      <c r="G8" s="55">
        <v>25</v>
      </c>
      <c r="H8" s="55">
        <v>26</v>
      </c>
      <c r="I8" s="72">
        <v>27</v>
      </c>
      <c r="K8" s="89" t="s">
        <v>28</v>
      </c>
      <c r="L8" s="86">
        <v>46258</v>
      </c>
      <c r="M8" s="2">
        <f ca="1">_xlfn.DAYS(L8,TODAY())</f>
        <v>63</v>
      </c>
    </row>
    <row r="9" spans="3:13" ht="19.5" thickBot="1">
      <c r="C9" s="83">
        <v>28</v>
      </c>
      <c r="D9" s="84">
        <v>29</v>
      </c>
      <c r="E9" s="84">
        <v>30</v>
      </c>
      <c r="F9" s="69"/>
      <c r="G9" s="69"/>
      <c r="H9" s="69"/>
      <c r="I9" s="70"/>
    </row>
    <row r="11" spans="3:13" ht="19.5" thickBot="1">
      <c r="C11" t="s">
        <v>23</v>
      </c>
      <c r="D11" s="52"/>
      <c r="E11" s="52"/>
      <c r="F11" s="52"/>
      <c r="G11" s="52"/>
      <c r="H11" s="52"/>
      <c r="I11" s="52"/>
      <c r="K11" s="2" t="s">
        <v>84</v>
      </c>
      <c r="L11" s="90">
        <f>DATE(2026,6,11)</f>
        <v>46184</v>
      </c>
    </row>
    <row r="12" spans="3:13">
      <c r="C12" s="60"/>
      <c r="D12" s="61"/>
      <c r="E12" s="61"/>
      <c r="F12" s="26">
        <v>1</v>
      </c>
      <c r="G12" s="26">
        <v>2</v>
      </c>
      <c r="H12" s="26">
        <v>3</v>
      </c>
      <c r="I12" s="27">
        <v>4</v>
      </c>
      <c r="K12" s="2" t="s">
        <v>85</v>
      </c>
      <c r="L12" s="90">
        <f ca="1">TODAY()</f>
        <v>46195</v>
      </c>
    </row>
    <row r="13" spans="3:13">
      <c r="C13" s="71">
        <v>5</v>
      </c>
      <c r="D13" s="55">
        <v>6</v>
      </c>
      <c r="E13" s="55">
        <v>7</v>
      </c>
      <c r="F13" s="55">
        <v>8</v>
      </c>
      <c r="G13" s="55">
        <v>9</v>
      </c>
      <c r="H13" s="55">
        <v>10</v>
      </c>
      <c r="I13" s="72">
        <v>11</v>
      </c>
      <c r="K13" s="2" t="s">
        <v>87</v>
      </c>
      <c r="L13" s="2">
        <f ca="1">_xlfn.DAYS(L12,L11)</f>
        <v>11</v>
      </c>
    </row>
    <row r="14" spans="3:13">
      <c r="C14" s="71">
        <v>12</v>
      </c>
      <c r="D14" s="55">
        <v>13</v>
      </c>
      <c r="E14" s="55">
        <v>14</v>
      </c>
      <c r="F14" s="57">
        <v>15</v>
      </c>
      <c r="G14" s="57">
        <v>16</v>
      </c>
      <c r="H14" s="57">
        <v>17</v>
      </c>
      <c r="I14" s="73">
        <v>18</v>
      </c>
      <c r="K14" s="2" t="s">
        <v>70</v>
      </c>
      <c r="L14" s="2">
        <f>コスト表!K4</f>
        <v>100</v>
      </c>
    </row>
    <row r="15" spans="3:13">
      <c r="C15" s="74">
        <v>19</v>
      </c>
      <c r="D15" s="57">
        <v>20</v>
      </c>
      <c r="E15" s="57">
        <v>21</v>
      </c>
      <c r="F15" s="57">
        <v>22</v>
      </c>
      <c r="G15" s="57">
        <v>23</v>
      </c>
      <c r="H15" s="57">
        <v>24</v>
      </c>
      <c r="I15" s="73">
        <v>25</v>
      </c>
      <c r="K15" s="2" t="s">
        <v>86</v>
      </c>
      <c r="L15" s="2">
        <f>コスト表!L4</f>
        <v>88</v>
      </c>
    </row>
    <row r="16" spans="3:13" ht="19.5" thickBot="1">
      <c r="C16" s="75">
        <v>26</v>
      </c>
      <c r="D16" s="76">
        <v>27</v>
      </c>
      <c r="E16" s="76">
        <v>28</v>
      </c>
      <c r="F16" s="76">
        <v>29</v>
      </c>
      <c r="G16" s="76">
        <v>30</v>
      </c>
      <c r="H16" s="76">
        <v>31</v>
      </c>
      <c r="I16" s="70"/>
      <c r="K16" s="2" t="s">
        <v>89</v>
      </c>
      <c r="L16" s="91"/>
    </row>
    <row r="18" spans="3:9" ht="19.5" thickBot="1">
      <c r="C18" s="52" t="s">
        <v>24</v>
      </c>
      <c r="D18" s="52"/>
      <c r="E18" s="52"/>
      <c r="F18" s="52"/>
      <c r="G18" s="52"/>
      <c r="H18" s="52"/>
      <c r="I18" s="52"/>
    </row>
    <row r="19" spans="3:9">
      <c r="C19" s="60"/>
      <c r="D19" s="61"/>
      <c r="E19" s="61"/>
      <c r="F19" s="61"/>
      <c r="G19" s="61"/>
      <c r="H19" s="61"/>
      <c r="I19" s="62">
        <v>1</v>
      </c>
    </row>
    <row r="20" spans="3:9">
      <c r="C20" s="63">
        <v>2</v>
      </c>
      <c r="D20" s="58">
        <v>3</v>
      </c>
      <c r="E20" s="58">
        <v>4</v>
      </c>
      <c r="F20" s="58">
        <v>5</v>
      </c>
      <c r="G20" s="58">
        <v>6</v>
      </c>
      <c r="H20" s="58">
        <v>7</v>
      </c>
      <c r="I20" s="64">
        <v>8</v>
      </c>
    </row>
    <row r="21" spans="3:9">
      <c r="C21" s="63">
        <v>9</v>
      </c>
      <c r="D21" s="58">
        <v>10</v>
      </c>
      <c r="E21" s="58">
        <v>11</v>
      </c>
      <c r="F21" s="58">
        <v>12</v>
      </c>
      <c r="G21" s="58">
        <v>13</v>
      </c>
      <c r="H21" s="58">
        <v>14</v>
      </c>
      <c r="I21" s="64">
        <v>15</v>
      </c>
    </row>
    <row r="22" spans="3:9">
      <c r="C22" s="63">
        <v>16</v>
      </c>
      <c r="D22" s="58">
        <v>17</v>
      </c>
      <c r="E22" s="58">
        <v>18</v>
      </c>
      <c r="F22" s="58">
        <v>19</v>
      </c>
      <c r="G22" s="59">
        <v>20</v>
      </c>
      <c r="H22" s="59">
        <v>21</v>
      </c>
      <c r="I22" s="65">
        <v>22</v>
      </c>
    </row>
    <row r="23" spans="3:9">
      <c r="C23" s="66">
        <v>23</v>
      </c>
      <c r="D23" s="59">
        <v>24</v>
      </c>
      <c r="E23" s="56">
        <v>25</v>
      </c>
      <c r="F23" s="56">
        <v>26</v>
      </c>
      <c r="G23" s="56">
        <v>27</v>
      </c>
      <c r="H23" s="56">
        <v>28</v>
      </c>
      <c r="I23" s="67">
        <v>29</v>
      </c>
    </row>
    <row r="24" spans="3:9" ht="19.5" thickBot="1">
      <c r="C24" s="68">
        <v>30</v>
      </c>
      <c r="D24" s="69">
        <v>31</v>
      </c>
      <c r="E24" s="69"/>
      <c r="F24" s="69"/>
      <c r="G24" s="69"/>
      <c r="H24" s="69"/>
      <c r="I24" s="70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C3F72-B603-4FD5-9BCE-7621097C86E9}">
  <dimension ref="B1:C20"/>
  <sheetViews>
    <sheetView workbookViewId="0">
      <selection activeCell="F16" sqref="E16:F17"/>
    </sheetView>
  </sheetViews>
  <sheetFormatPr defaultRowHeight="18.75"/>
  <cols>
    <col min="2" max="2" width="39.625" bestFit="1" customWidth="1"/>
    <col min="3" max="3" width="67.875" bestFit="1" customWidth="1"/>
  </cols>
  <sheetData>
    <row r="1" spans="2:3">
      <c r="B1" s="4" t="s">
        <v>15</v>
      </c>
    </row>
    <row r="3" spans="2:3">
      <c r="B3" s="1" t="s">
        <v>0</v>
      </c>
    </row>
    <row r="4" spans="2:3">
      <c r="B4" s="2" t="s">
        <v>1</v>
      </c>
    </row>
    <row r="5" spans="2:3">
      <c r="B5" s="2" t="s">
        <v>2</v>
      </c>
    </row>
    <row r="6" spans="2:3">
      <c r="B6" s="2" t="s">
        <v>5</v>
      </c>
    </row>
    <row r="7" spans="2:3">
      <c r="B7" s="2" t="s">
        <v>3</v>
      </c>
    </row>
    <row r="8" spans="2:3">
      <c r="B8" s="2" t="s">
        <v>4</v>
      </c>
    </row>
    <row r="9" spans="2:3">
      <c r="B9" s="2" t="s">
        <v>6</v>
      </c>
    </row>
    <row r="10" spans="2:3">
      <c r="B10" s="2" t="s">
        <v>7</v>
      </c>
    </row>
    <row r="11" spans="2:3">
      <c r="B11" s="2" t="s">
        <v>9</v>
      </c>
    </row>
    <row r="14" spans="2:3">
      <c r="B14" s="1" t="s">
        <v>10</v>
      </c>
      <c r="C14" s="3" t="s">
        <v>14</v>
      </c>
    </row>
    <row r="15" spans="2:3">
      <c r="B15" s="2" t="s">
        <v>8</v>
      </c>
      <c r="C15" t="s">
        <v>13</v>
      </c>
    </row>
    <row r="16" spans="2:3">
      <c r="B16" s="2" t="s">
        <v>2</v>
      </c>
    </row>
    <row r="17" spans="2:2">
      <c r="B17" s="2" t="s">
        <v>12</v>
      </c>
    </row>
    <row r="18" spans="2:2">
      <c r="B18" s="2" t="s">
        <v>11</v>
      </c>
    </row>
    <row r="19" spans="2:2">
      <c r="B19" s="2" t="s">
        <v>9</v>
      </c>
    </row>
    <row r="20" spans="2:2">
      <c r="B20" s="2" t="s">
        <v>6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BF92EDF-ED1E-417F-8834-D10F3329C6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コスト表</vt:lpstr>
      <vt:lpstr>スケジュール</vt:lpstr>
      <vt:lpstr>クラス設計・概要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大崎　永遠</dc:creator>
  <cp:lastModifiedBy>w t</cp:lastModifiedBy>
  <dcterms:created xsi:type="dcterms:W3CDTF">2026-06-10T00:51:26Z</dcterms:created>
  <dcterms:modified xsi:type="dcterms:W3CDTF">2026-06-22T14:21:11Z</dcterms:modified>
</cp:coreProperties>
</file>